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workbookPr defaultThemeVersion="166925"/>
  <mc:AlternateContent xmlns:mc="http://schemas.openxmlformats.org/markup-compatibility/2006">
    <mc:Choice Requires="x15">
      <x15ac:absPath xmlns:x15ac="http://schemas.microsoft.com/office/spreadsheetml/2010/11/ac" url="D:\Fall 2022\OPMA 415\Excel Sheets\"/>
    </mc:Choice>
  </mc:AlternateContent>
  <xr:revisionPtr revIDLastSave="0" documentId="8_{79B51EAC-7E16-45C7-B80A-FCF4C7183AD2}" xr6:coauthVersionLast="47" xr6:coauthVersionMax="47" xr10:uidLastSave="{00000000-0000-0000-0000-000000000000}"/>
  <bookViews>
    <workbookView xWindow="-98" yWindow="-98" windowWidth="20715" windowHeight="13276" xr2:uid="{CF63E0E5-FBA0-485B-9D10-1DC03F92FC64}"/>
  </bookViews>
  <sheets>
    <sheet name="Sheet1" sheetId="1" r:id="rId1"/>
  </sheets>
  <definedNames>
    <definedName name="solver_adj" localSheetId="0" hidden="1">Sheet1!$E$76:$I$91,Sheet1!$O$76:$P$91,Sheet1!$J$76:$N$91</definedName>
    <definedName name="solver_cvg" localSheetId="0" hidden="1">0.0001</definedName>
    <definedName name="solver_drv" localSheetId="0" hidden="1">1</definedName>
    <definedName name="solver_eng" localSheetId="0" hidden="1">2</definedName>
    <definedName name="solver_est" localSheetId="0" hidden="1">1</definedName>
    <definedName name="solver_itr" localSheetId="0" hidden="1">2147483647</definedName>
    <definedName name="solver_lhs1" localSheetId="0" hidden="1">Sheet1!$D$76:$D$91</definedName>
    <definedName name="solver_lhs2" localSheetId="0" hidden="1">Sheet1!$E$76:$N$91</definedName>
    <definedName name="solver_lhs3" localSheetId="0" hidden="1">Sheet1!$E$92:$I$92</definedName>
    <definedName name="solver_lhs4" localSheetId="0" hidden="1">Sheet1!$J$92:$N$92</definedName>
    <definedName name="solver_lhs5" localSheetId="0" hidden="1">Sheet1!$Q$76:$Q$91</definedName>
    <definedName name="solver_lhs6" localSheetId="0" hidden="1">Sheet1!$D$116:$D$131</definedName>
    <definedName name="solver_lhs7" localSheetId="0" hidden="1">Sheet1!$D$92</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5</definedName>
    <definedName name="solver_nwt" localSheetId="0" hidden="1">1</definedName>
    <definedName name="solver_opt" localSheetId="0" hidden="1">Sheet1!$C$108</definedName>
    <definedName name="solver_pre" localSheetId="0" hidden="1">0.000001</definedName>
    <definedName name="solver_rbv" localSheetId="0" hidden="1">1</definedName>
    <definedName name="solver_rel1" localSheetId="0" hidden="1">1</definedName>
    <definedName name="solver_rel2" localSheetId="0" hidden="1">4</definedName>
    <definedName name="solver_rel3" localSheetId="0" hidden="1">1</definedName>
    <definedName name="solver_rel4" localSheetId="0" hidden="1">1</definedName>
    <definedName name="solver_rel5" localSheetId="0" hidden="1">2</definedName>
    <definedName name="solver_rel6" localSheetId="0" hidden="1">2</definedName>
    <definedName name="solver_rel7" localSheetId="0" hidden="1">2</definedName>
    <definedName name="solver_rhs1" localSheetId="0" hidden="1">Sheet1!$C$76:$C$91</definedName>
    <definedName name="solver_rhs2" localSheetId="0" hidden="1">"integer"</definedName>
    <definedName name="solver_rhs3" localSheetId="0" hidden="1">Sheet1!$E$93:$I$93</definedName>
    <definedName name="solver_rhs4" localSheetId="0" hidden="1">Sheet1!$J$93:$N$93</definedName>
    <definedName name="solver_rhs5" localSheetId="0" hidden="1">Sheet1!$R$76:$R$91</definedName>
    <definedName name="solver_rhs6" localSheetId="0" hidden="1">Sheet1!$C$116:$C$131</definedName>
    <definedName name="solver_rhs7" localSheetId="0" hidden="1">Sheet1!$C$92</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L29" i="1"/>
  <c r="M29" i="1" s="1"/>
  <c r="N29" i="1" s="1"/>
  <c r="O29" i="1" s="1"/>
  <c r="P29" i="1" s="1"/>
  <c r="L30" i="1"/>
  <c r="M30" i="1" s="1"/>
  <c r="N30" i="1" s="1"/>
  <c r="O30" i="1" s="1"/>
  <c r="P30" i="1" s="1"/>
  <c r="L31" i="1"/>
  <c r="M31" i="1" s="1"/>
  <c r="N31" i="1" s="1"/>
  <c r="O31" i="1" s="1"/>
  <c r="P31" i="1" s="1"/>
  <c r="L32" i="1"/>
  <c r="M32" i="1" s="1"/>
  <c r="N32" i="1" s="1"/>
  <c r="O32" i="1" s="1"/>
  <c r="P32" i="1" s="1"/>
  <c r="L33" i="1"/>
  <c r="M33" i="1" s="1"/>
  <c r="N33" i="1" s="1"/>
  <c r="O33" i="1" s="1"/>
  <c r="P33" i="1" s="1"/>
  <c r="L34" i="1"/>
  <c r="M34" i="1" s="1"/>
  <c r="N34" i="1" s="1"/>
  <c r="O34" i="1" s="1"/>
  <c r="P34" i="1" s="1"/>
  <c r="L35" i="1"/>
  <c r="M35" i="1" s="1"/>
  <c r="N35" i="1" s="1"/>
  <c r="O35" i="1" s="1"/>
  <c r="P35" i="1" s="1"/>
  <c r="L36" i="1"/>
  <c r="M36" i="1" s="1"/>
  <c r="N36" i="1" s="1"/>
  <c r="O36" i="1" s="1"/>
  <c r="P36" i="1" s="1"/>
  <c r="L37" i="1"/>
  <c r="M37" i="1" s="1"/>
  <c r="N37" i="1" s="1"/>
  <c r="O37" i="1" s="1"/>
  <c r="P37" i="1" s="1"/>
  <c r="L38" i="1"/>
  <c r="M38" i="1" s="1"/>
  <c r="N38" i="1" s="1"/>
  <c r="O38" i="1" s="1"/>
  <c r="P38" i="1" s="1"/>
  <c r="L39" i="1"/>
  <c r="M39" i="1" s="1"/>
  <c r="N39" i="1" s="1"/>
  <c r="O39" i="1" s="1"/>
  <c r="P39" i="1" s="1"/>
  <c r="L40" i="1"/>
  <c r="M40" i="1" s="1"/>
  <c r="N40" i="1" s="1"/>
  <c r="O40" i="1" s="1"/>
  <c r="P40" i="1" s="1"/>
  <c r="L41" i="1"/>
  <c r="M41" i="1" s="1"/>
  <c r="N41" i="1" s="1"/>
  <c r="O41" i="1" s="1"/>
  <c r="P41" i="1" s="1"/>
  <c r="L42" i="1"/>
  <c r="M42" i="1" s="1"/>
  <c r="N42" i="1" s="1"/>
  <c r="O42" i="1" s="1"/>
  <c r="P42" i="1" s="1"/>
  <c r="L43" i="1"/>
  <c r="M43" i="1" s="1"/>
  <c r="N43" i="1" s="1"/>
  <c r="O43" i="1" s="1"/>
  <c r="P43" i="1" s="1"/>
  <c r="L28" i="1"/>
  <c r="M28" i="1" s="1"/>
  <c r="N28" i="1" s="1"/>
  <c r="O28" i="1" s="1"/>
  <c r="P28" i="1" s="1"/>
  <c r="J92" i="1"/>
  <c r="J101" i="1" s="1"/>
  <c r="N92" i="1"/>
  <c r="N101" i="1" s="1"/>
  <c r="M92" i="1"/>
  <c r="M101" i="1" s="1"/>
  <c r="L92" i="1"/>
  <c r="L101" i="1" s="1"/>
  <c r="K92" i="1"/>
  <c r="K101" i="1" s="1"/>
  <c r="C102" i="1"/>
  <c r="D102" i="1"/>
  <c r="E102" i="1"/>
  <c r="F102" i="1"/>
  <c r="G102" i="1"/>
  <c r="D122" i="1"/>
  <c r="D130" i="1"/>
  <c r="C108" i="1"/>
  <c r="P5" i="1"/>
  <c r="D117" i="1" s="1"/>
  <c r="P6" i="1"/>
  <c r="D118" i="1" s="1"/>
  <c r="P7" i="1"/>
  <c r="R79" i="1" s="1"/>
  <c r="P8" i="1"/>
  <c r="R80" i="1" s="1"/>
  <c r="P9" i="1"/>
  <c r="R81" i="1" s="1"/>
  <c r="P10" i="1"/>
  <c r="R82" i="1" s="1"/>
  <c r="P11" i="1"/>
  <c r="D123" i="1" s="1"/>
  <c r="P12" i="1"/>
  <c r="D124" i="1" s="1"/>
  <c r="P13" i="1"/>
  <c r="D125" i="1" s="1"/>
  <c r="P14" i="1"/>
  <c r="D126" i="1" s="1"/>
  <c r="P15" i="1"/>
  <c r="R87" i="1" s="1"/>
  <c r="P16" i="1"/>
  <c r="R88" i="1" s="1"/>
  <c r="P17" i="1"/>
  <c r="R89" i="1" s="1"/>
  <c r="P18" i="1"/>
  <c r="R90" i="1" s="1"/>
  <c r="P19" i="1"/>
  <c r="D131" i="1" s="1"/>
  <c r="P4" i="1"/>
  <c r="D116" i="1" s="1"/>
  <c r="R85" i="1" l="1"/>
  <c r="R77" i="1"/>
  <c r="D129" i="1"/>
  <c r="D121" i="1"/>
  <c r="R78" i="1"/>
  <c r="R76" i="1"/>
  <c r="R84" i="1"/>
  <c r="D128" i="1"/>
  <c r="D120" i="1"/>
  <c r="R91" i="1"/>
  <c r="R83" i="1"/>
  <c r="P20" i="1"/>
  <c r="D127" i="1"/>
  <c r="D119" i="1"/>
  <c r="R86" i="1"/>
  <c r="C53" i="1" a="1"/>
  <c r="C53" i="1" s="1"/>
  <c r="E92" i="1"/>
  <c r="C101" i="1" s="1"/>
  <c r="F92" i="1"/>
  <c r="D101" i="1" s="1"/>
  <c r="G92" i="1"/>
  <c r="E101" i="1" s="1"/>
  <c r="H92" i="1"/>
  <c r="F101" i="1" s="1"/>
  <c r="I92" i="1"/>
  <c r="G101" i="1" s="1"/>
  <c r="C92" i="1" l="1"/>
  <c r="D77" i="1"/>
  <c r="D78" i="1"/>
  <c r="D79" i="1"/>
  <c r="D80" i="1"/>
  <c r="D81" i="1"/>
  <c r="D82" i="1"/>
  <c r="D83" i="1"/>
  <c r="D84" i="1"/>
  <c r="D85" i="1"/>
  <c r="D86" i="1"/>
  <c r="D87" i="1"/>
  <c r="D88" i="1"/>
  <c r="D89" i="1"/>
  <c r="D90" i="1"/>
  <c r="D91" i="1"/>
  <c r="D76" i="1"/>
  <c r="H20" i="1"/>
  <c r="G20" i="1"/>
  <c r="D93" i="1" l="1"/>
  <c r="C93" i="1"/>
  <c r="D92" i="1"/>
  <c r="L20" i="1"/>
  <c r="M20" i="1"/>
  <c r="N20" i="1"/>
  <c r="O20" i="1"/>
  <c r="K20" i="1"/>
  <c r="D20" i="1"/>
  <c r="C20" i="1"/>
  <c r="D45" i="1"/>
  <c r="E45" i="1"/>
  <c r="F45" i="1"/>
  <c r="G45" i="1"/>
  <c r="H45" i="1"/>
  <c r="I45" i="1"/>
  <c r="J45" i="1"/>
  <c r="K45" i="1"/>
  <c r="C45" i="1"/>
  <c r="H53" i="1" l="1"/>
  <c r="C116" i="1" s="1"/>
  <c r="Q76" i="1" s="1"/>
  <c r="H64" i="1" l="1"/>
  <c r="C127" i="1" s="1"/>
  <c r="Q87" i="1" s="1"/>
  <c r="H61" i="1"/>
  <c r="C124" i="1" s="1"/>
  <c r="E124" i="1" s="1"/>
  <c r="F124" i="1" s="1"/>
  <c r="H62" i="1"/>
  <c r="C125" i="1" s="1"/>
  <c r="E125" i="1" s="1"/>
  <c r="F125" i="1" s="1"/>
  <c r="H60" i="1"/>
  <c r="C123" i="1" s="1"/>
  <c r="E123" i="1" s="1"/>
  <c r="F123" i="1" s="1"/>
  <c r="H63" i="1"/>
  <c r="C126" i="1" s="1"/>
  <c r="E126" i="1" s="1"/>
  <c r="F126" i="1" s="1"/>
  <c r="H55" i="1"/>
  <c r="C118" i="1" s="1"/>
  <c r="E118" i="1" s="1"/>
  <c r="F118" i="1" s="1"/>
  <c r="H54" i="1"/>
  <c r="C117" i="1" s="1"/>
  <c r="Q77" i="1" s="1"/>
  <c r="H57" i="1"/>
  <c r="C120" i="1" s="1"/>
  <c r="E120" i="1" s="1"/>
  <c r="F120" i="1" s="1"/>
  <c r="H67" i="1"/>
  <c r="C130" i="1" s="1"/>
  <c r="Q90" i="1" s="1"/>
  <c r="H59" i="1"/>
  <c r="C122" i="1" s="1"/>
  <c r="E122" i="1" s="1"/>
  <c r="F122" i="1" s="1"/>
  <c r="H68" i="1"/>
  <c r="C131" i="1" s="1"/>
  <c r="E131" i="1" s="1"/>
  <c r="F131" i="1" s="1"/>
  <c r="H56" i="1"/>
  <c r="C119" i="1" s="1"/>
  <c r="Q79" i="1" s="1"/>
  <c r="H66" i="1"/>
  <c r="C129" i="1" s="1"/>
  <c r="E129" i="1" s="1"/>
  <c r="F129" i="1" s="1"/>
  <c r="H58" i="1"/>
  <c r="C121" i="1" s="1"/>
  <c r="Q81" i="1" s="1"/>
  <c r="H65" i="1"/>
  <c r="C128" i="1" s="1"/>
  <c r="E128" i="1" s="1"/>
  <c r="F128" i="1" s="1"/>
  <c r="F116" i="1"/>
  <c r="E127" i="1"/>
  <c r="F127" i="1" s="1"/>
  <c r="E130" i="1" l="1"/>
  <c r="F130" i="1" s="1"/>
  <c r="Q89" i="1"/>
  <c r="Q84" i="1"/>
  <c r="Q85" i="1"/>
  <c r="Q91" i="1"/>
  <c r="Q82" i="1"/>
  <c r="Q83" i="1"/>
  <c r="Q86" i="1"/>
  <c r="E119" i="1"/>
  <c r="F119" i="1" s="1"/>
  <c r="E121" i="1"/>
  <c r="F121" i="1" s="1"/>
  <c r="Q88" i="1"/>
  <c r="E117" i="1"/>
  <c r="F117" i="1" s="1"/>
  <c r="Q80" i="1"/>
  <c r="Q78" i="1"/>
  <c r="F133"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<sst xmlns="http://schemas.openxmlformats.org/spreadsheetml/2006/main" count="52" uniqueCount="36">
  <si>
    <t>Cancer Center</t>
  </si>
  <si>
    <t>portable Units</t>
  </si>
  <si>
    <t>Total</t>
  </si>
  <si>
    <t>Total Avaliable Rooms</t>
  </si>
  <si>
    <t>Total Avaliable Swing Rooms</t>
  </si>
  <si>
    <t>Demand</t>
  </si>
  <si>
    <t>Capacity</t>
  </si>
  <si>
    <t>Patients treated Per Linac</t>
  </si>
  <si>
    <t>Allocation of Linac</t>
  </si>
  <si>
    <t>Maximum Allowed</t>
  </si>
  <si>
    <t>Deviation</t>
  </si>
  <si>
    <t>Demand Achievable</t>
  </si>
  <si>
    <t>TOTAL CAPACITY</t>
  </si>
  <si>
    <t>ABS Deviation</t>
  </si>
  <si>
    <t>Deviation Under</t>
  </si>
  <si>
    <t>Deviation Over</t>
  </si>
  <si>
    <t>To Match Demand</t>
  </si>
  <si>
    <t>CONFIRMATION</t>
  </si>
  <si>
    <t>TOTAL</t>
  </si>
  <si>
    <t>Total Deviation</t>
  </si>
  <si>
    <t>Confirmation Of Work</t>
  </si>
  <si>
    <t>We used  less then or equal to for our rooms because the linacs can go to different places where the deviation will just increase, because the cenetrs that need rhe machines don't have the room capacity for more linacs</t>
  </si>
  <si>
    <t>Recommendation:</t>
  </si>
  <si>
    <t>Under Deviation is much more important then over because the need to have the capacityto support everyone is more imprortant then being able to support to many people</t>
  </si>
  <si>
    <t>Portable Linacs can go to any center that has the highest amount of Under Deviation each year</t>
  </si>
  <si>
    <t>Total Deviation means the amount of people we weren't able to help and the amount of people we were able to help but didn't need help, to minimize this means to use the the machines to their full capacity</t>
  </si>
  <si>
    <t>Linacs Per Year</t>
  </si>
  <si>
    <t>Total Avaliable Rooms Updated</t>
  </si>
  <si>
    <t>Demand Forecast</t>
  </si>
  <si>
    <t>Linacs Machines  only last 9 Years so after 2014 we need to look at replacing the broken machines before allocating more machines</t>
  </si>
  <si>
    <t>Avaliable  Rooms</t>
  </si>
  <si>
    <t>Rooms Used</t>
  </si>
  <si>
    <t>Total Used</t>
  </si>
  <si>
    <t>Total Allowed</t>
  </si>
  <si>
    <t>Total Linac Allocation</t>
  </si>
  <si>
    <t>Total Portable Linac 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</si>
</sst>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b/>
      <sz val="11"/>
      <color rgb="FF3F3F76"/>
      <name val="Calibri"/>
      <family val="2"/>
      <scheme val="minor"/>
    </font>
    <font>
      <i/>
      <sz val="11"/>
      <color rgb="FF7F7F7F"/>
      <name val="Calibri"/>
      <family val="2"/>
      <scheme val="minor"/>
    </font>
  </fonts>
  <fills count="6">
    <fill>
      <patternFill patternType="none"/>
    </fill>
    <fill>
      <patternFill patternType="gray125"/>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style="thin">
        <color rgb="FF7F7F7F"/>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6">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4" fillId="5" borderId="1" applyNumberFormat="0" applyAlignment="0" applyProtection="0"/>
    <xf numFmtId="0" fontId="7" fillId="0" borderId="0" applyNumberFormat="0" applyFill="0" applyBorder="0" applyAlignment="0" applyProtection="0"/>
  </cellStyleXfs>
  <cellXfs count="42">
    <xf numFmtId="0" fontId="0" fillId="0" borderId="0" xfId="0"/>
    <xf numFmtId="0" fontId="5" fillId="0" borderId="0" xfId="0" applyFont="1"/>
    <xf numFmtId="0" fontId="4" fillId="5" borderId="2" xfId="4" applyBorder="1"/>
    <xf numFmtId="0" fontId="3" fillId="4" borderId="3" xfId="3" applyBorder="1"/>
    <xf numFmtId="0" fontId="4" fillId="5" borderId="3" xfId="4" applyBorder="1"/>
    <xf numFmtId="0" fontId="6" fillId="4" borderId="3" xfId="3" applyFont="1" applyBorder="1"/>
    <xf numFmtId="0" fontId="3" fillId="4" borderId="3" xfId="3" applyBorder="1" applyAlignment="1">
      <alignment horizontal="center" vertical="center"/>
    </xf>
    <xf numFmtId="0" fontId="5" fillId="0" borderId="4" xfId="0" applyFont="1" applyBorder="1"/>
    <xf numFmtId="0" fontId="5" fillId="0" borderId="5" xfId="0" applyFont="1" applyBorder="1"/>
    <xf numFmtId="0" fontId="5" fillId="0" borderId="6" xfId="0" applyFont="1" applyBorder="1"/>
    <xf numFmtId="0" fontId="5" fillId="0" borderId="7" xfId="0" applyFont="1" applyBorder="1"/>
    <xf numFmtId="0" fontId="3" fillId="4" borderId="8" xfId="3" applyBorder="1"/>
    <xf numFmtId="0" fontId="5" fillId="0" borderId="9" xfId="0" applyFont="1" applyBorder="1"/>
    <xf numFmtId="0" fontId="4" fillId="5" borderId="10" xfId="4" applyBorder="1"/>
    <xf numFmtId="0" fontId="4" fillId="5" borderId="11" xfId="4" applyBorder="1"/>
    <xf numFmtId="0" fontId="6" fillId="4" borderId="8" xfId="3" applyFont="1" applyBorder="1"/>
    <xf numFmtId="0" fontId="4" fillId="5" borderId="8" xfId="4" applyBorder="1"/>
    <xf numFmtId="0" fontId="5" fillId="0" borderId="12" xfId="0" applyFont="1" applyBorder="1"/>
    <xf numFmtId="0" fontId="3" fillId="4" borderId="13" xfId="3" applyBorder="1"/>
    <xf numFmtId="0" fontId="5" fillId="0" borderId="14" xfId="0" applyFont="1" applyBorder="1"/>
    <xf numFmtId="0" fontId="4" fillId="5" borderId="7" xfId="4" applyBorder="1"/>
    <xf numFmtId="0" fontId="4" fillId="5" borderId="9" xfId="4" applyBorder="1"/>
    <xf numFmtId="0" fontId="4" fillId="5" borderId="16" xfId="4" applyBorder="1"/>
    <xf numFmtId="0" fontId="7" fillId="0" borderId="0" xfId="5" applyBorder="1"/>
    <xf numFmtId="0" fontId="5" fillId="0" borderId="17" xfId="0" applyFont="1" applyBorder="1"/>
    <xf numFmtId="0" fontId="4" fillId="5" borderId="18" xfId="4" applyBorder="1"/>
    <xf numFmtId="0" fontId="4" fillId="5" borderId="15" xfId="4" applyBorder="1"/>
    <xf numFmtId="0" fontId="4" fillId="5" borderId="19" xfId="4" applyBorder="1"/>
    <xf numFmtId="0" fontId="4" fillId="5" borderId="13" xfId="4" applyBorder="1"/>
    <xf numFmtId="0" fontId="2" fillId="3" borderId="3" xfId="2" applyBorder="1"/>
    <xf numFmtId="0" fontId="2" fillId="3" borderId="8" xfId="2" applyBorder="1"/>
    <xf numFmtId="0" fontId="3" fillId="4" borderId="10" xfId="3" applyBorder="1"/>
    <xf numFmtId="0" fontId="3" fillId="4" borderId="11" xfId="3" applyBorder="1"/>
    <xf numFmtId="0" fontId="2" fillId="3" borderId="7" xfId="2" applyBorder="1"/>
    <xf numFmtId="0" fontId="2" fillId="3" borderId="9" xfId="2" applyBorder="1"/>
    <xf numFmtId="0" fontId="2" fillId="3" borderId="10" xfId="2" applyBorder="1"/>
    <xf numFmtId="0" fontId="5" fillId="0" borderId="20" xfId="0" applyFont="1" applyBorder="1"/>
    <xf numFmtId="0" fontId="4" fillId="5" borderId="21" xfId="4" applyBorder="1"/>
    <xf numFmtId="0" fontId="1" fillId="2" borderId="21" xfId="1" applyBorder="1"/>
    <xf numFmtId="0" fontId="0" fillId="0" borderId="4" xfId="0" applyBorder="1"/>
    <xf numFmtId="0" fontId="5" fillId="0" borderId="22" xfId="0" applyFont="1" applyBorder="1"/>
    <xf numFmtId="0" fontId="3" fillId="4" borderId="9" xfId="3" applyBorder="1"/>
  </cellXfs>
  <cellStyles count="6">
    <cellStyle name="Bad" xfId="2" builtinId="27"/>
    <cellStyle name="Calculation" xfId="4" builtinId="22"/>
    <cellStyle name="Explanatory Text" xfId="5" builtinId="53"/>
    <cellStyle name="Good" xfId="1" builtinId="26"/>
    <cellStyle name="Input" xfId="3"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68267-AC72-4E30-8BAF-923CBCF9794C}">
  <dimension ref="B2:R142"/>
  <sheetViews>
    <sheetView tabSelected="1" topLeftCell="A105" zoomScale="76" zoomScaleNormal="70" workbookViewId="0">
      <selection activeCell="C105" sqref="C105"/>
    </sheetView>
  </sheetViews>
  <sheetFormatPr defaultRowHeight="14.25" x14ac:dyDescent="0.45"/>
  <cols>
    <col min="2" max="2" width="32" customWidth="1"/>
    <col min="3" max="3" width="31.59765625" customWidth="1"/>
    <col min="4" max="4" width="34.86328125" customWidth="1"/>
    <col min="5" max="5" width="31.265625" bestFit="1" customWidth="1"/>
    <col min="6" max="6" width="20.86328125" customWidth="1"/>
    <col min="7" max="7" width="28.73046875" bestFit="1" customWidth="1"/>
    <col min="8" max="8" width="36.265625" bestFit="1" customWidth="1"/>
    <col min="9" max="9" width="39" bestFit="1" customWidth="1"/>
    <col min="10" max="10" width="29.3984375" bestFit="1" customWidth="1"/>
    <col min="11" max="11" width="24" bestFit="1" customWidth="1"/>
    <col min="12" max="12" width="29.3984375" bestFit="1" customWidth="1"/>
    <col min="13" max="13" width="24" bestFit="1" customWidth="1"/>
    <col min="14" max="14" width="8.59765625" bestFit="1" customWidth="1"/>
    <col min="15" max="15" width="24.86328125" bestFit="1" customWidth="1"/>
    <col min="16" max="16" width="14.3984375" bestFit="1" customWidth="1"/>
    <col min="17" max="17" width="18.3984375" bestFit="1" customWidth="1"/>
    <col min="18" max="18" width="32.59765625" bestFit="1" customWidth="1"/>
    <col min="19" max="19" width="24.3984375" bestFit="1" customWidth="1"/>
    <col min="20" max="20" width="20.59765625" bestFit="1" customWidth="1"/>
    <col min="21" max="21" width="13" bestFit="1" customWidth="1"/>
    <col min="22" max="22" width="32.59765625" bestFit="1" customWidth="1"/>
  </cols>
  <sheetData>
    <row r="2" spans="2:18" ht="14.65" thickBot="1" x14ac:dyDescent="0.5">
      <c r="B2" s="1" t="s">
        <v>3</v>
      </c>
      <c r="C2" s="1"/>
      <c r="D2" s="1"/>
      <c r="F2" s="1" t="s">
        <v>27</v>
      </c>
      <c r="G2" s="1"/>
      <c r="H2" s="1"/>
      <c r="J2" s="1" t="s">
        <v>28</v>
      </c>
    </row>
    <row r="3" spans="2:18" x14ac:dyDescent="0.45">
      <c r="B3" s="7" t="s">
        <v>0</v>
      </c>
      <c r="C3" s="8" t="s">
        <v>3</v>
      </c>
      <c r="D3" s="9" t="s">
        <v>4</v>
      </c>
      <c r="F3" s="7" t="s">
        <v>0</v>
      </c>
      <c r="G3" s="8" t="s">
        <v>3</v>
      </c>
      <c r="H3" s="9" t="s">
        <v>4</v>
      </c>
      <c r="J3" s="7" t="s">
        <v>0</v>
      </c>
      <c r="K3" s="8">
        <v>2013</v>
      </c>
      <c r="L3" s="8">
        <v>2014</v>
      </c>
      <c r="M3" s="8">
        <v>2015</v>
      </c>
      <c r="N3" s="8">
        <v>2016</v>
      </c>
      <c r="O3" s="8">
        <v>2017</v>
      </c>
      <c r="P3" s="9" t="s">
        <v>18</v>
      </c>
      <c r="R3" s="17" t="s">
        <v>7</v>
      </c>
    </row>
    <row r="4" spans="2:18" ht="14.65" thickBot="1" x14ac:dyDescent="0.5">
      <c r="B4" s="10">
        <v>1</v>
      </c>
      <c r="C4" s="3">
        <v>0</v>
      </c>
      <c r="D4" s="11">
        <v>0</v>
      </c>
      <c r="F4" s="10">
        <v>1</v>
      </c>
      <c r="G4" s="5">
        <v>0</v>
      </c>
      <c r="H4" s="15">
        <v>0</v>
      </c>
      <c r="J4" s="10">
        <v>1</v>
      </c>
      <c r="K4" s="6">
        <v>426</v>
      </c>
      <c r="L4" s="6">
        <v>440</v>
      </c>
      <c r="M4" s="6">
        <v>453</v>
      </c>
      <c r="N4" s="6">
        <v>468</v>
      </c>
      <c r="O4" s="6">
        <v>482</v>
      </c>
      <c r="P4" s="16">
        <f>SUM(K4:O4)</f>
        <v>2269</v>
      </c>
      <c r="R4" s="18">
        <v>426</v>
      </c>
    </row>
    <row r="5" spans="2:18" x14ac:dyDescent="0.45">
      <c r="B5" s="10">
        <v>2</v>
      </c>
      <c r="C5" s="3">
        <v>0</v>
      </c>
      <c r="D5" s="11">
        <v>1</v>
      </c>
      <c r="F5" s="10">
        <v>2</v>
      </c>
      <c r="G5" s="3">
        <v>0</v>
      </c>
      <c r="H5" s="11">
        <v>1</v>
      </c>
      <c r="J5" s="10">
        <v>2</v>
      </c>
      <c r="K5" s="6">
        <v>1833</v>
      </c>
      <c r="L5" s="6">
        <v>1902</v>
      </c>
      <c r="M5" s="6">
        <v>1972</v>
      </c>
      <c r="N5" s="6">
        <v>2046</v>
      </c>
      <c r="O5" s="6">
        <v>2123</v>
      </c>
      <c r="P5" s="16">
        <f t="shared" ref="P5:P19" si="0">SUM(K5:O5)</f>
        <v>9876</v>
      </c>
    </row>
    <row r="6" spans="2:18" x14ac:dyDescent="0.45">
      <c r="B6" s="10">
        <v>3</v>
      </c>
      <c r="C6" s="3">
        <v>0</v>
      </c>
      <c r="D6" s="11">
        <v>0</v>
      </c>
      <c r="F6" s="10">
        <v>3</v>
      </c>
      <c r="G6" s="5">
        <v>0</v>
      </c>
      <c r="H6" s="15">
        <v>0</v>
      </c>
      <c r="J6" s="10">
        <v>3</v>
      </c>
      <c r="K6" s="6">
        <v>2794</v>
      </c>
      <c r="L6" s="6">
        <v>2950</v>
      </c>
      <c r="M6" s="6">
        <v>3114</v>
      </c>
      <c r="N6" s="6">
        <v>3284</v>
      </c>
      <c r="O6" s="6">
        <v>3460</v>
      </c>
      <c r="P6" s="16">
        <f t="shared" si="0"/>
        <v>15602</v>
      </c>
    </row>
    <row r="7" spans="2:18" x14ac:dyDescent="0.45">
      <c r="B7" s="10">
        <v>4</v>
      </c>
      <c r="C7" s="3">
        <v>1</v>
      </c>
      <c r="D7" s="11">
        <v>1</v>
      </c>
      <c r="F7" s="10">
        <v>4</v>
      </c>
      <c r="G7" s="3">
        <v>1</v>
      </c>
      <c r="H7" s="11">
        <v>1</v>
      </c>
      <c r="J7" s="10">
        <v>4</v>
      </c>
      <c r="K7" s="6">
        <v>2341</v>
      </c>
      <c r="L7" s="6">
        <v>2450</v>
      </c>
      <c r="M7" s="6">
        <v>2564</v>
      </c>
      <c r="N7" s="6">
        <v>2683</v>
      </c>
      <c r="O7" s="6">
        <v>2807</v>
      </c>
      <c r="P7" s="16">
        <f t="shared" si="0"/>
        <v>12845</v>
      </c>
    </row>
    <row r="8" spans="2:18" x14ac:dyDescent="0.45">
      <c r="B8" s="10">
        <v>5</v>
      </c>
      <c r="C8" s="3">
        <v>0</v>
      </c>
      <c r="D8" s="11">
        <v>1</v>
      </c>
      <c r="F8" s="10">
        <v>5</v>
      </c>
      <c r="G8" s="3">
        <v>0</v>
      </c>
      <c r="H8" s="11">
        <v>1</v>
      </c>
      <c r="J8" s="10">
        <v>5</v>
      </c>
      <c r="K8" s="6">
        <v>4275</v>
      </c>
      <c r="L8" s="6">
        <v>4445</v>
      </c>
      <c r="M8" s="6">
        <v>4621</v>
      </c>
      <c r="N8" s="6">
        <v>4807</v>
      </c>
      <c r="O8" s="6">
        <v>5004</v>
      </c>
      <c r="P8" s="16">
        <f t="shared" si="0"/>
        <v>23152</v>
      </c>
    </row>
    <row r="9" spans="2:18" x14ac:dyDescent="0.45">
      <c r="B9" s="10">
        <v>6</v>
      </c>
      <c r="C9" s="3">
        <v>0</v>
      </c>
      <c r="D9" s="11">
        <v>1</v>
      </c>
      <c r="F9" s="10">
        <v>6</v>
      </c>
      <c r="G9" s="3">
        <v>0</v>
      </c>
      <c r="H9" s="11">
        <v>1</v>
      </c>
      <c r="J9" s="10">
        <v>6</v>
      </c>
      <c r="K9" s="6">
        <v>4157</v>
      </c>
      <c r="L9" s="6">
        <v>4322</v>
      </c>
      <c r="M9" s="6">
        <v>4491</v>
      </c>
      <c r="N9" s="6">
        <v>4669</v>
      </c>
      <c r="O9" s="6">
        <v>4855</v>
      </c>
      <c r="P9" s="16">
        <f t="shared" si="0"/>
        <v>22494</v>
      </c>
    </row>
    <row r="10" spans="2:18" x14ac:dyDescent="0.45">
      <c r="B10" s="10">
        <v>7</v>
      </c>
      <c r="C10" s="3">
        <v>1</v>
      </c>
      <c r="D10" s="11">
        <v>1</v>
      </c>
      <c r="F10" s="10">
        <v>7</v>
      </c>
      <c r="G10" s="3">
        <v>1</v>
      </c>
      <c r="H10" s="11">
        <v>1</v>
      </c>
      <c r="J10" s="10">
        <v>7</v>
      </c>
      <c r="K10" s="6">
        <v>2460</v>
      </c>
      <c r="L10" s="6">
        <v>2581</v>
      </c>
      <c r="M10" s="6">
        <v>2707</v>
      </c>
      <c r="N10" s="6">
        <v>2840</v>
      </c>
      <c r="O10" s="6">
        <v>2980</v>
      </c>
      <c r="P10" s="16">
        <f t="shared" si="0"/>
        <v>13568</v>
      </c>
    </row>
    <row r="11" spans="2:18" x14ac:dyDescent="0.45">
      <c r="B11" s="10">
        <v>8</v>
      </c>
      <c r="C11" s="3">
        <v>0</v>
      </c>
      <c r="D11" s="11">
        <v>1</v>
      </c>
      <c r="F11" s="10">
        <v>8</v>
      </c>
      <c r="G11" s="3">
        <v>0</v>
      </c>
      <c r="H11" s="11">
        <v>1</v>
      </c>
      <c r="J11" s="10">
        <v>8</v>
      </c>
      <c r="K11" s="6">
        <v>1854</v>
      </c>
      <c r="L11" s="6">
        <v>1916</v>
      </c>
      <c r="M11" s="6">
        <v>1978</v>
      </c>
      <c r="N11" s="6">
        <v>2044</v>
      </c>
      <c r="O11" s="6">
        <v>2110</v>
      </c>
      <c r="P11" s="16">
        <f t="shared" si="0"/>
        <v>9902</v>
      </c>
    </row>
    <row r="12" spans="2:18" x14ac:dyDescent="0.45">
      <c r="B12" s="10">
        <v>9</v>
      </c>
      <c r="C12" s="3">
        <v>0</v>
      </c>
      <c r="D12" s="11">
        <v>1</v>
      </c>
      <c r="F12" s="10">
        <v>9</v>
      </c>
      <c r="G12" s="3">
        <v>0</v>
      </c>
      <c r="H12" s="11">
        <v>1</v>
      </c>
      <c r="J12" s="10">
        <v>9</v>
      </c>
      <c r="K12" s="6">
        <v>895</v>
      </c>
      <c r="L12" s="6">
        <v>925</v>
      </c>
      <c r="M12" s="6">
        <v>956</v>
      </c>
      <c r="N12" s="6">
        <v>988</v>
      </c>
      <c r="O12" s="6">
        <v>1022</v>
      </c>
      <c r="P12" s="16">
        <f t="shared" si="0"/>
        <v>4786</v>
      </c>
    </row>
    <row r="13" spans="2:18" x14ac:dyDescent="0.45">
      <c r="B13" s="10">
        <v>10</v>
      </c>
      <c r="C13" s="3">
        <v>0</v>
      </c>
      <c r="D13" s="11">
        <v>1</v>
      </c>
      <c r="F13" s="10">
        <v>10</v>
      </c>
      <c r="G13" s="3">
        <v>0</v>
      </c>
      <c r="H13" s="11">
        <v>1</v>
      </c>
      <c r="J13" s="10">
        <v>10</v>
      </c>
      <c r="K13" s="6">
        <v>1165</v>
      </c>
      <c r="L13" s="6">
        <v>1206</v>
      </c>
      <c r="M13" s="6">
        <v>1248</v>
      </c>
      <c r="N13" s="6">
        <v>1294</v>
      </c>
      <c r="O13" s="6">
        <v>1342</v>
      </c>
      <c r="P13" s="16">
        <f t="shared" si="0"/>
        <v>6255</v>
      </c>
    </row>
    <row r="14" spans="2:18" x14ac:dyDescent="0.45">
      <c r="B14" s="10">
        <v>11</v>
      </c>
      <c r="C14" s="3">
        <v>0</v>
      </c>
      <c r="D14" s="11">
        <v>0</v>
      </c>
      <c r="F14" s="10">
        <v>11</v>
      </c>
      <c r="G14" s="5">
        <v>0</v>
      </c>
      <c r="H14" s="15">
        <v>0</v>
      </c>
      <c r="J14" s="10">
        <v>11</v>
      </c>
      <c r="K14" s="6">
        <v>4826</v>
      </c>
      <c r="L14" s="6">
        <v>5005</v>
      </c>
      <c r="M14" s="6">
        <v>5190</v>
      </c>
      <c r="N14" s="6">
        <v>5383</v>
      </c>
      <c r="O14" s="6">
        <v>5583</v>
      </c>
      <c r="P14" s="16">
        <f t="shared" si="0"/>
        <v>25987</v>
      </c>
    </row>
    <row r="15" spans="2:18" x14ac:dyDescent="0.45">
      <c r="B15" s="10">
        <v>12</v>
      </c>
      <c r="C15" s="3">
        <v>0</v>
      </c>
      <c r="D15" s="11">
        <v>1</v>
      </c>
      <c r="F15" s="10">
        <v>12</v>
      </c>
      <c r="G15" s="3">
        <v>0</v>
      </c>
      <c r="H15" s="11">
        <v>1</v>
      </c>
      <c r="J15" s="10">
        <v>12</v>
      </c>
      <c r="K15" s="6">
        <v>4966</v>
      </c>
      <c r="L15" s="6">
        <v>5172</v>
      </c>
      <c r="M15" s="6">
        <v>5384</v>
      </c>
      <c r="N15" s="6">
        <v>5607</v>
      </c>
      <c r="O15" s="6">
        <v>5839</v>
      </c>
      <c r="P15" s="16">
        <f t="shared" si="0"/>
        <v>26968</v>
      </c>
    </row>
    <row r="16" spans="2:18" x14ac:dyDescent="0.45">
      <c r="B16" s="10">
        <v>13</v>
      </c>
      <c r="C16" s="3">
        <v>0</v>
      </c>
      <c r="D16" s="11">
        <v>1</v>
      </c>
      <c r="F16" s="10">
        <v>13</v>
      </c>
      <c r="G16" s="3">
        <v>0</v>
      </c>
      <c r="H16" s="11">
        <v>1</v>
      </c>
      <c r="J16" s="10">
        <v>13</v>
      </c>
      <c r="K16" s="6">
        <v>6610</v>
      </c>
      <c r="L16" s="6">
        <v>6877</v>
      </c>
      <c r="M16" s="6">
        <v>7155</v>
      </c>
      <c r="N16" s="6">
        <v>7445</v>
      </c>
      <c r="O16" s="6">
        <v>7744</v>
      </c>
      <c r="P16" s="16">
        <f t="shared" si="0"/>
        <v>35831</v>
      </c>
    </row>
    <row r="17" spans="2:16" x14ac:dyDescent="0.45">
      <c r="B17" s="10">
        <v>14</v>
      </c>
      <c r="C17" s="3">
        <v>1</v>
      </c>
      <c r="D17" s="11">
        <v>0</v>
      </c>
      <c r="F17" s="10">
        <v>14</v>
      </c>
      <c r="G17" s="3">
        <v>1</v>
      </c>
      <c r="H17" s="11">
        <v>0</v>
      </c>
      <c r="J17" s="10">
        <v>14</v>
      </c>
      <c r="K17" s="6">
        <v>1364</v>
      </c>
      <c r="L17" s="6">
        <v>1432</v>
      </c>
      <c r="M17" s="6">
        <v>1504</v>
      </c>
      <c r="N17" s="6">
        <v>1580</v>
      </c>
      <c r="O17" s="6">
        <v>1661</v>
      </c>
      <c r="P17" s="16">
        <f t="shared" si="0"/>
        <v>7541</v>
      </c>
    </row>
    <row r="18" spans="2:16" x14ac:dyDescent="0.45">
      <c r="B18" s="10">
        <v>15</v>
      </c>
      <c r="C18" s="3">
        <v>3</v>
      </c>
      <c r="D18" s="11">
        <v>0</v>
      </c>
      <c r="F18" s="10">
        <v>15</v>
      </c>
      <c r="G18" s="3">
        <v>3</v>
      </c>
      <c r="H18" s="11">
        <v>0</v>
      </c>
      <c r="J18" s="10">
        <v>15</v>
      </c>
      <c r="K18" s="6">
        <v>2561</v>
      </c>
      <c r="L18" s="6">
        <v>2706</v>
      </c>
      <c r="M18" s="6">
        <v>2855</v>
      </c>
      <c r="N18" s="6">
        <v>3012</v>
      </c>
      <c r="O18" s="6">
        <v>3176</v>
      </c>
      <c r="P18" s="16">
        <f t="shared" si="0"/>
        <v>14310</v>
      </c>
    </row>
    <row r="19" spans="2:16" x14ac:dyDescent="0.45">
      <c r="B19" s="10">
        <v>16</v>
      </c>
      <c r="C19" s="3">
        <v>0</v>
      </c>
      <c r="D19" s="11">
        <v>0</v>
      </c>
      <c r="F19" s="10">
        <v>16</v>
      </c>
      <c r="G19" s="5">
        <v>0</v>
      </c>
      <c r="H19" s="15">
        <v>0</v>
      </c>
      <c r="J19" s="10">
        <v>16</v>
      </c>
      <c r="K19" s="6">
        <v>1541</v>
      </c>
      <c r="L19" s="6">
        <v>1599</v>
      </c>
      <c r="M19" s="6">
        <v>1659</v>
      </c>
      <c r="N19" s="6">
        <v>1722</v>
      </c>
      <c r="O19" s="6">
        <v>1788</v>
      </c>
      <c r="P19" s="16">
        <f t="shared" si="0"/>
        <v>8309</v>
      </c>
    </row>
    <row r="20" spans="2:16" ht="14.65" thickBot="1" x14ac:dyDescent="0.5">
      <c r="B20" s="12" t="s">
        <v>2</v>
      </c>
      <c r="C20" s="13">
        <f>SUM(C4:C19)</f>
        <v>6</v>
      </c>
      <c r="D20" s="14">
        <f>SUM(D4:D19)</f>
        <v>10</v>
      </c>
      <c r="F20" s="12" t="s">
        <v>2</v>
      </c>
      <c r="G20" s="13">
        <f>SUM(G4:G19)</f>
        <v>6</v>
      </c>
      <c r="H20" s="14">
        <f>SUM(H4:H19)</f>
        <v>10</v>
      </c>
      <c r="J20" s="12" t="s">
        <v>2</v>
      </c>
      <c r="K20" s="13">
        <f>SUM(K4:K19)</f>
        <v>44068</v>
      </c>
      <c r="L20" s="13">
        <f t="shared" ref="L20:P20" si="1">SUM(L4:L19)</f>
        <v>45928</v>
      </c>
      <c r="M20" s="13">
        <f t="shared" si="1"/>
        <v>47851</v>
      </c>
      <c r="N20" s="13">
        <f t="shared" si="1"/>
        <v>49872</v>
      </c>
      <c r="O20" s="13">
        <f t="shared" si="1"/>
        <v>51976</v>
      </c>
      <c r="P20" s="14">
        <f t="shared" si="1"/>
        <v>239695</v>
      </c>
    </row>
    <row r="26" spans="2:16" ht="14.65" thickBot="1" x14ac:dyDescent="0.5">
      <c r="B26" s="1" t="s">
        <v>26</v>
      </c>
      <c r="C26" s="1"/>
      <c r="D26" s="1"/>
      <c r="E26" s="1"/>
      <c r="F26" s="1"/>
      <c r="G26" s="1"/>
      <c r="H26" s="1"/>
      <c r="I26" s="1"/>
      <c r="J26" s="1"/>
      <c r="K26" s="1"/>
    </row>
    <row r="27" spans="2:16" x14ac:dyDescent="0.45">
      <c r="B27" s="7" t="s">
        <v>0</v>
      </c>
      <c r="C27" s="8">
        <v>2005</v>
      </c>
      <c r="D27" s="8">
        <v>2006</v>
      </c>
      <c r="E27" s="8">
        <v>2007</v>
      </c>
      <c r="F27" s="8">
        <v>2008</v>
      </c>
      <c r="G27" s="8">
        <v>2009</v>
      </c>
      <c r="H27" s="8">
        <v>2010</v>
      </c>
      <c r="I27" s="8">
        <v>2011</v>
      </c>
      <c r="J27" s="8">
        <v>2012</v>
      </c>
      <c r="K27" s="9">
        <v>2013</v>
      </c>
      <c r="L27" s="24">
        <v>2013</v>
      </c>
      <c r="M27" s="8">
        <v>2014</v>
      </c>
      <c r="N27" s="8">
        <v>2015</v>
      </c>
      <c r="O27" s="8">
        <v>2016</v>
      </c>
      <c r="P27" s="9">
        <v>2017</v>
      </c>
    </row>
    <row r="28" spans="2:16" x14ac:dyDescent="0.45">
      <c r="B28" s="10">
        <v>1</v>
      </c>
      <c r="C28" s="3">
        <v>0</v>
      </c>
      <c r="D28" s="3">
        <v>0</v>
      </c>
      <c r="E28" s="3">
        <v>0</v>
      </c>
      <c r="F28" s="3">
        <v>0</v>
      </c>
      <c r="G28" s="3">
        <v>0</v>
      </c>
      <c r="H28" s="3">
        <v>0</v>
      </c>
      <c r="I28" s="3">
        <v>0</v>
      </c>
      <c r="J28" s="3">
        <v>1</v>
      </c>
      <c r="K28" s="11">
        <v>1</v>
      </c>
      <c r="L28" s="25">
        <f>K28+E76+J76</f>
        <v>1</v>
      </c>
      <c r="M28" s="25">
        <f t="shared" ref="M28:P28" si="2">L28+F76+K76</f>
        <v>1</v>
      </c>
      <c r="N28" s="25">
        <f t="shared" si="2"/>
        <v>1</v>
      </c>
      <c r="O28" s="25">
        <f t="shared" si="2"/>
        <v>1</v>
      </c>
      <c r="P28" s="25">
        <f t="shared" si="2"/>
        <v>1</v>
      </c>
    </row>
    <row r="29" spans="2:16" x14ac:dyDescent="0.45">
      <c r="B29" s="10">
        <v>2</v>
      </c>
      <c r="C29" s="3">
        <v>4</v>
      </c>
      <c r="D29" s="3">
        <v>4</v>
      </c>
      <c r="E29" s="3">
        <v>4</v>
      </c>
      <c r="F29" s="3">
        <v>4</v>
      </c>
      <c r="G29" s="3">
        <v>4</v>
      </c>
      <c r="H29" s="3">
        <v>4</v>
      </c>
      <c r="I29" s="3">
        <v>4</v>
      </c>
      <c r="J29" s="3">
        <v>5</v>
      </c>
      <c r="K29" s="11">
        <v>5</v>
      </c>
      <c r="L29" s="25">
        <f t="shared" ref="L29:L43" si="3">K29+E77+J77</f>
        <v>5</v>
      </c>
      <c r="M29" s="25">
        <f t="shared" ref="M29:M43" si="4">L29+F77+K77</f>
        <v>5</v>
      </c>
      <c r="N29" s="25">
        <f t="shared" ref="N29:N43" si="5">M29+G77+L77</f>
        <v>5</v>
      </c>
      <c r="O29" s="25">
        <f t="shared" ref="O29:O43" si="6">N29+H77+M77</f>
        <v>5</v>
      </c>
      <c r="P29" s="25">
        <f t="shared" ref="P29:P43" si="7">O29+I77+N77</f>
        <v>5</v>
      </c>
    </row>
    <row r="30" spans="2:16" x14ac:dyDescent="0.45">
      <c r="B30" s="10">
        <v>3</v>
      </c>
      <c r="C30" s="3">
        <v>0</v>
      </c>
      <c r="D30" s="3">
        <v>3</v>
      </c>
      <c r="E30" s="3">
        <v>4</v>
      </c>
      <c r="F30" s="3">
        <v>4</v>
      </c>
      <c r="G30" s="3">
        <v>6</v>
      </c>
      <c r="H30" s="3">
        <v>6</v>
      </c>
      <c r="I30" s="3">
        <v>6</v>
      </c>
      <c r="J30" s="3">
        <v>6</v>
      </c>
      <c r="K30" s="11">
        <v>6</v>
      </c>
      <c r="L30" s="25">
        <f t="shared" si="3"/>
        <v>7</v>
      </c>
      <c r="M30" s="25">
        <f t="shared" si="4"/>
        <v>7</v>
      </c>
      <c r="N30" s="25">
        <f t="shared" si="5"/>
        <v>7</v>
      </c>
      <c r="O30" s="25">
        <f t="shared" si="6"/>
        <v>7</v>
      </c>
      <c r="P30" s="25">
        <f t="shared" si="7"/>
        <v>7</v>
      </c>
    </row>
    <row r="31" spans="2:16" x14ac:dyDescent="0.45">
      <c r="B31" s="10">
        <v>4</v>
      </c>
      <c r="C31" s="3">
        <v>4</v>
      </c>
      <c r="D31" s="3">
        <v>4</v>
      </c>
      <c r="E31" s="3">
        <v>4</v>
      </c>
      <c r="F31" s="3">
        <v>4</v>
      </c>
      <c r="G31" s="3">
        <v>4</v>
      </c>
      <c r="H31" s="3">
        <v>4</v>
      </c>
      <c r="I31" s="3">
        <v>4</v>
      </c>
      <c r="J31" s="3">
        <v>4</v>
      </c>
      <c r="K31" s="11">
        <v>4</v>
      </c>
      <c r="L31" s="25">
        <f t="shared" si="3"/>
        <v>6</v>
      </c>
      <c r="M31" s="25">
        <f t="shared" si="4"/>
        <v>6</v>
      </c>
      <c r="N31" s="25">
        <f t="shared" si="5"/>
        <v>6</v>
      </c>
      <c r="O31" s="25">
        <f t="shared" si="6"/>
        <v>6</v>
      </c>
      <c r="P31" s="25">
        <f t="shared" si="7"/>
        <v>6</v>
      </c>
    </row>
    <row r="32" spans="2:16" x14ac:dyDescent="0.45">
      <c r="B32" s="10">
        <v>5</v>
      </c>
      <c r="C32" s="3">
        <v>11</v>
      </c>
      <c r="D32" s="3">
        <v>11</v>
      </c>
      <c r="E32" s="3">
        <v>11</v>
      </c>
      <c r="F32" s="3">
        <v>11</v>
      </c>
      <c r="G32" s="3">
        <v>11</v>
      </c>
      <c r="H32" s="3">
        <v>11</v>
      </c>
      <c r="I32" s="3">
        <v>11</v>
      </c>
      <c r="J32" s="3">
        <v>11</v>
      </c>
      <c r="K32" s="11">
        <v>11</v>
      </c>
      <c r="L32" s="25">
        <f t="shared" si="3"/>
        <v>11</v>
      </c>
      <c r="M32" s="25">
        <f t="shared" si="4"/>
        <v>11</v>
      </c>
      <c r="N32" s="25">
        <f t="shared" si="5"/>
        <v>11</v>
      </c>
      <c r="O32" s="25">
        <f t="shared" si="6"/>
        <v>11</v>
      </c>
      <c r="P32" s="25">
        <f t="shared" si="7"/>
        <v>11</v>
      </c>
    </row>
    <row r="33" spans="2:16" x14ac:dyDescent="0.45">
      <c r="B33" s="10">
        <v>6</v>
      </c>
      <c r="C33" s="3">
        <v>8</v>
      </c>
      <c r="D33" s="3">
        <v>8</v>
      </c>
      <c r="E33" s="3">
        <v>8</v>
      </c>
      <c r="F33" s="3">
        <v>8</v>
      </c>
      <c r="G33" s="3">
        <v>8</v>
      </c>
      <c r="H33" s="3">
        <v>8</v>
      </c>
      <c r="I33" s="3">
        <v>9</v>
      </c>
      <c r="J33" s="3">
        <v>9</v>
      </c>
      <c r="K33" s="11">
        <v>9</v>
      </c>
      <c r="L33" s="25">
        <f t="shared" si="3"/>
        <v>9</v>
      </c>
      <c r="M33" s="25">
        <f t="shared" si="4"/>
        <v>10</v>
      </c>
      <c r="N33" s="25">
        <f t="shared" si="5"/>
        <v>10</v>
      </c>
      <c r="O33" s="25">
        <f t="shared" si="6"/>
        <v>11</v>
      </c>
      <c r="P33" s="25">
        <f t="shared" si="7"/>
        <v>11</v>
      </c>
    </row>
    <row r="34" spans="2:16" x14ac:dyDescent="0.45">
      <c r="B34" s="10">
        <v>7</v>
      </c>
      <c r="C34" s="3">
        <v>0</v>
      </c>
      <c r="D34" s="3">
        <v>0</v>
      </c>
      <c r="E34" s="3">
        <v>3</v>
      </c>
      <c r="F34" s="3">
        <v>3</v>
      </c>
      <c r="G34" s="3">
        <v>4</v>
      </c>
      <c r="H34" s="3">
        <v>5</v>
      </c>
      <c r="I34" s="3">
        <v>6</v>
      </c>
      <c r="J34" s="3">
        <v>6</v>
      </c>
      <c r="K34" s="11">
        <v>6</v>
      </c>
      <c r="L34" s="25">
        <f t="shared" si="3"/>
        <v>6</v>
      </c>
      <c r="M34" s="25">
        <f t="shared" si="4"/>
        <v>6</v>
      </c>
      <c r="N34" s="25">
        <f t="shared" si="5"/>
        <v>6</v>
      </c>
      <c r="O34" s="25">
        <f t="shared" si="6"/>
        <v>7</v>
      </c>
      <c r="P34" s="25">
        <f t="shared" si="7"/>
        <v>7</v>
      </c>
    </row>
    <row r="35" spans="2:16" x14ac:dyDescent="0.45">
      <c r="B35" s="10">
        <v>8</v>
      </c>
      <c r="C35" s="3">
        <v>5</v>
      </c>
      <c r="D35" s="3">
        <v>5</v>
      </c>
      <c r="E35" s="3">
        <v>5</v>
      </c>
      <c r="F35" s="3">
        <v>5</v>
      </c>
      <c r="G35" s="3">
        <v>5</v>
      </c>
      <c r="H35" s="3">
        <v>5</v>
      </c>
      <c r="I35" s="3">
        <v>5</v>
      </c>
      <c r="J35" s="3">
        <v>5</v>
      </c>
      <c r="K35" s="11">
        <v>5</v>
      </c>
      <c r="L35" s="25">
        <f t="shared" si="3"/>
        <v>5</v>
      </c>
      <c r="M35" s="25">
        <f t="shared" si="4"/>
        <v>5</v>
      </c>
      <c r="N35" s="25">
        <f t="shared" si="5"/>
        <v>5</v>
      </c>
      <c r="O35" s="25">
        <f t="shared" si="6"/>
        <v>5</v>
      </c>
      <c r="P35" s="25">
        <f t="shared" si="7"/>
        <v>5</v>
      </c>
    </row>
    <row r="36" spans="2:16" x14ac:dyDescent="0.45">
      <c r="B36" s="10">
        <v>9</v>
      </c>
      <c r="C36" s="3">
        <v>2</v>
      </c>
      <c r="D36" s="3">
        <v>2</v>
      </c>
      <c r="E36" s="3">
        <v>2</v>
      </c>
      <c r="F36" s="3">
        <v>2</v>
      </c>
      <c r="G36" s="3">
        <v>2</v>
      </c>
      <c r="H36" s="3">
        <v>2</v>
      </c>
      <c r="I36" s="3">
        <v>2</v>
      </c>
      <c r="J36" s="3">
        <v>2</v>
      </c>
      <c r="K36" s="11">
        <v>2</v>
      </c>
      <c r="L36" s="25">
        <f t="shared" si="3"/>
        <v>2</v>
      </c>
      <c r="M36" s="25">
        <f t="shared" si="4"/>
        <v>2</v>
      </c>
      <c r="N36" s="25">
        <f t="shared" si="5"/>
        <v>2</v>
      </c>
      <c r="O36" s="25">
        <f t="shared" si="6"/>
        <v>2</v>
      </c>
      <c r="P36" s="25">
        <f t="shared" si="7"/>
        <v>3</v>
      </c>
    </row>
    <row r="37" spans="2:16" x14ac:dyDescent="0.45">
      <c r="B37" s="10">
        <v>10</v>
      </c>
      <c r="C37" s="3">
        <v>0</v>
      </c>
      <c r="D37" s="3">
        <v>0</v>
      </c>
      <c r="E37" s="3">
        <v>0</v>
      </c>
      <c r="F37" s="3">
        <v>0</v>
      </c>
      <c r="G37" s="3">
        <v>0</v>
      </c>
      <c r="H37" s="3">
        <v>0</v>
      </c>
      <c r="I37" s="3">
        <v>0</v>
      </c>
      <c r="J37" s="3">
        <v>0</v>
      </c>
      <c r="K37" s="11">
        <v>3</v>
      </c>
      <c r="L37" s="25">
        <f t="shared" si="3"/>
        <v>3</v>
      </c>
      <c r="M37" s="25">
        <f t="shared" si="4"/>
        <v>3</v>
      </c>
      <c r="N37" s="25">
        <f t="shared" si="5"/>
        <v>3</v>
      </c>
      <c r="O37" s="25">
        <f t="shared" si="6"/>
        <v>3</v>
      </c>
      <c r="P37" s="25">
        <f t="shared" si="7"/>
        <v>3</v>
      </c>
    </row>
    <row r="38" spans="2:16" x14ac:dyDescent="0.45">
      <c r="B38" s="10">
        <v>11</v>
      </c>
      <c r="C38" s="3">
        <v>13</v>
      </c>
      <c r="D38" s="3">
        <v>13</v>
      </c>
      <c r="E38" s="3">
        <v>13</v>
      </c>
      <c r="F38" s="3">
        <v>13</v>
      </c>
      <c r="G38" s="3">
        <v>13</v>
      </c>
      <c r="H38" s="3">
        <v>13</v>
      </c>
      <c r="I38" s="3">
        <v>13</v>
      </c>
      <c r="J38" s="3">
        <v>13</v>
      </c>
      <c r="K38" s="11">
        <v>13</v>
      </c>
      <c r="L38" s="25">
        <f t="shared" si="3"/>
        <v>13</v>
      </c>
      <c r="M38" s="25">
        <f t="shared" si="4"/>
        <v>13</v>
      </c>
      <c r="N38" s="25">
        <f t="shared" si="5"/>
        <v>13</v>
      </c>
      <c r="O38" s="25">
        <f t="shared" si="6"/>
        <v>13</v>
      </c>
      <c r="P38" s="25">
        <f t="shared" si="7"/>
        <v>13</v>
      </c>
    </row>
    <row r="39" spans="2:16" x14ac:dyDescent="0.45">
      <c r="B39" s="10">
        <v>12</v>
      </c>
      <c r="C39" s="3">
        <v>8</v>
      </c>
      <c r="D39" s="3">
        <v>8</v>
      </c>
      <c r="E39" s="3">
        <v>9</v>
      </c>
      <c r="F39" s="3">
        <v>9</v>
      </c>
      <c r="G39" s="3">
        <v>9</v>
      </c>
      <c r="H39" s="3">
        <v>11</v>
      </c>
      <c r="I39" s="3">
        <v>12</v>
      </c>
      <c r="J39" s="3">
        <v>12</v>
      </c>
      <c r="K39" s="11">
        <v>12</v>
      </c>
      <c r="L39" s="25">
        <f t="shared" si="3"/>
        <v>12</v>
      </c>
      <c r="M39" s="25">
        <f t="shared" si="4"/>
        <v>12</v>
      </c>
      <c r="N39" s="25">
        <f t="shared" si="5"/>
        <v>13</v>
      </c>
      <c r="O39" s="25">
        <f t="shared" si="6"/>
        <v>13</v>
      </c>
      <c r="P39" s="25">
        <f t="shared" si="7"/>
        <v>13</v>
      </c>
    </row>
    <row r="40" spans="2:16" x14ac:dyDescent="0.45">
      <c r="B40" s="10">
        <v>13</v>
      </c>
      <c r="C40" s="3">
        <v>16</v>
      </c>
      <c r="D40" s="3">
        <v>16</v>
      </c>
      <c r="E40" s="3">
        <v>16</v>
      </c>
      <c r="F40" s="3">
        <v>16</v>
      </c>
      <c r="G40" s="3">
        <v>16</v>
      </c>
      <c r="H40" s="3">
        <v>16</v>
      </c>
      <c r="I40" s="3">
        <v>16</v>
      </c>
      <c r="J40" s="3">
        <v>16</v>
      </c>
      <c r="K40" s="11">
        <v>16</v>
      </c>
      <c r="L40" s="25">
        <f t="shared" si="3"/>
        <v>16</v>
      </c>
      <c r="M40" s="25">
        <f t="shared" si="4"/>
        <v>17</v>
      </c>
      <c r="N40" s="25">
        <f t="shared" si="5"/>
        <v>17</v>
      </c>
      <c r="O40" s="25">
        <f t="shared" si="6"/>
        <v>17</v>
      </c>
      <c r="P40" s="25">
        <f t="shared" si="7"/>
        <v>17</v>
      </c>
    </row>
    <row r="41" spans="2:16" x14ac:dyDescent="0.45">
      <c r="B41" s="10">
        <v>14</v>
      </c>
      <c r="C41" s="3">
        <v>0</v>
      </c>
      <c r="D41" s="3">
        <v>0</v>
      </c>
      <c r="E41" s="3">
        <v>1</v>
      </c>
      <c r="F41" s="3">
        <v>1</v>
      </c>
      <c r="G41" s="3">
        <v>1</v>
      </c>
      <c r="H41" s="3">
        <v>1</v>
      </c>
      <c r="I41" s="3">
        <v>1</v>
      </c>
      <c r="J41" s="3">
        <v>3</v>
      </c>
      <c r="K41" s="11">
        <v>3</v>
      </c>
      <c r="L41" s="25">
        <f t="shared" si="3"/>
        <v>3</v>
      </c>
      <c r="M41" s="25">
        <f t="shared" si="4"/>
        <v>3</v>
      </c>
      <c r="N41" s="25">
        <f t="shared" si="5"/>
        <v>4</v>
      </c>
      <c r="O41" s="25">
        <f t="shared" si="6"/>
        <v>4</v>
      </c>
      <c r="P41" s="25">
        <f t="shared" si="7"/>
        <v>4</v>
      </c>
    </row>
    <row r="42" spans="2:16" x14ac:dyDescent="0.45">
      <c r="B42" s="10">
        <v>15</v>
      </c>
      <c r="C42" s="3">
        <v>0</v>
      </c>
      <c r="D42" s="3">
        <v>0</v>
      </c>
      <c r="E42" s="3">
        <v>0</v>
      </c>
      <c r="F42" s="3">
        <v>0</v>
      </c>
      <c r="G42" s="3">
        <v>0</v>
      </c>
      <c r="H42" s="3">
        <v>3</v>
      </c>
      <c r="I42" s="3">
        <v>3</v>
      </c>
      <c r="J42" s="3">
        <v>3</v>
      </c>
      <c r="K42" s="11">
        <v>3</v>
      </c>
      <c r="L42" s="25">
        <f t="shared" si="3"/>
        <v>5</v>
      </c>
      <c r="M42" s="25">
        <f t="shared" si="4"/>
        <v>6</v>
      </c>
      <c r="N42" s="25">
        <f t="shared" si="5"/>
        <v>7</v>
      </c>
      <c r="O42" s="25">
        <f t="shared" si="6"/>
        <v>7</v>
      </c>
      <c r="P42" s="25">
        <f t="shared" si="7"/>
        <v>8</v>
      </c>
    </row>
    <row r="43" spans="2:16" x14ac:dyDescent="0.45">
      <c r="B43" s="10">
        <v>16</v>
      </c>
      <c r="C43" s="3">
        <v>3</v>
      </c>
      <c r="D43" s="3">
        <v>3</v>
      </c>
      <c r="E43" s="3">
        <v>3</v>
      </c>
      <c r="F43" s="3">
        <v>3</v>
      </c>
      <c r="G43" s="3">
        <v>3</v>
      </c>
      <c r="H43" s="3">
        <v>3</v>
      </c>
      <c r="I43" s="3">
        <v>3</v>
      </c>
      <c r="J43" s="3">
        <v>3</v>
      </c>
      <c r="K43" s="11">
        <v>3</v>
      </c>
      <c r="L43" s="25">
        <f t="shared" si="3"/>
        <v>3</v>
      </c>
      <c r="M43" s="25">
        <f t="shared" si="4"/>
        <v>4</v>
      </c>
      <c r="N43" s="25">
        <f t="shared" si="5"/>
        <v>4</v>
      </c>
      <c r="O43" s="25">
        <f t="shared" si="6"/>
        <v>4</v>
      </c>
      <c r="P43" s="25">
        <f t="shared" si="7"/>
        <v>4</v>
      </c>
    </row>
    <row r="44" spans="2:16" x14ac:dyDescent="0.45">
      <c r="B44" s="10" t="s">
        <v>1</v>
      </c>
      <c r="C44" s="3"/>
      <c r="D44" s="3"/>
      <c r="E44" s="3"/>
      <c r="F44" s="3"/>
      <c r="G44" s="3"/>
      <c r="H44" s="3"/>
      <c r="I44" s="3"/>
      <c r="J44" s="3">
        <v>1</v>
      </c>
      <c r="K44" s="11">
        <v>1</v>
      </c>
      <c r="L44" s="23"/>
      <c r="M44" s="23"/>
      <c r="N44" s="23"/>
      <c r="O44" s="23"/>
      <c r="P44" s="23"/>
    </row>
    <row r="45" spans="2:16" ht="14.65" thickBot="1" x14ac:dyDescent="0.5">
      <c r="B45" s="12" t="s">
        <v>2</v>
      </c>
      <c r="C45" s="13">
        <f>SUM(C28:C44)</f>
        <v>74</v>
      </c>
      <c r="D45" s="13">
        <f t="shared" ref="D45:K45" si="8">SUM(D28:D44)</f>
        <v>77</v>
      </c>
      <c r="E45" s="13">
        <f t="shared" si="8"/>
        <v>83</v>
      </c>
      <c r="F45" s="13">
        <f t="shared" si="8"/>
        <v>83</v>
      </c>
      <c r="G45" s="13">
        <f t="shared" si="8"/>
        <v>86</v>
      </c>
      <c r="H45" s="13">
        <f t="shared" si="8"/>
        <v>92</v>
      </c>
      <c r="I45" s="13">
        <f t="shared" si="8"/>
        <v>95</v>
      </c>
      <c r="J45" s="13">
        <f t="shared" si="8"/>
        <v>100</v>
      </c>
      <c r="K45" s="14">
        <f t="shared" si="8"/>
        <v>103</v>
      </c>
    </row>
    <row r="51" spans="2:8" ht="14.65" thickBot="1" x14ac:dyDescent="0.5">
      <c r="B51" s="1" t="s">
        <v>11</v>
      </c>
    </row>
    <row r="52" spans="2:8" x14ac:dyDescent="0.45">
      <c r="B52" s="7" t="s">
        <v>0</v>
      </c>
      <c r="C52" s="8">
        <v>2013</v>
      </c>
      <c r="D52" s="8">
        <v>2014</v>
      </c>
      <c r="E52" s="8">
        <v>2015</v>
      </c>
      <c r="F52" s="8">
        <v>2016</v>
      </c>
      <c r="G52" s="19">
        <v>2017</v>
      </c>
      <c r="H52" s="17" t="s">
        <v>12</v>
      </c>
    </row>
    <row r="53" spans="2:8" x14ac:dyDescent="0.45">
      <c r="B53" s="10">
        <v>1</v>
      </c>
      <c r="C53" s="4" cm="1">
        <f t="array" ref="C53:G68">L28:P43*R4</f>
        <v>426</v>
      </c>
      <c r="D53" s="4">
        <v>426</v>
      </c>
      <c r="E53" s="4">
        <v>426</v>
      </c>
      <c r="F53" s="4">
        <v>426</v>
      </c>
      <c r="G53" s="26">
        <v>426</v>
      </c>
      <c r="H53" s="27">
        <f>SUM(C53:G53)</f>
        <v>2130</v>
      </c>
    </row>
    <row r="54" spans="2:8" x14ac:dyDescent="0.45">
      <c r="B54" s="10">
        <v>2</v>
      </c>
      <c r="C54" s="4">
        <v>2130</v>
      </c>
      <c r="D54" s="4">
        <v>2130</v>
      </c>
      <c r="E54" s="4">
        <v>2130</v>
      </c>
      <c r="F54" s="4">
        <v>2130</v>
      </c>
      <c r="G54" s="26">
        <v>2130</v>
      </c>
      <c r="H54" s="27">
        <f t="shared" ref="H54:H68" si="9">SUM(C54:G54)</f>
        <v>10650</v>
      </c>
    </row>
    <row r="55" spans="2:8" x14ac:dyDescent="0.45">
      <c r="B55" s="10">
        <v>3</v>
      </c>
      <c r="C55" s="4">
        <v>2982</v>
      </c>
      <c r="D55" s="4">
        <v>2982</v>
      </c>
      <c r="E55" s="4">
        <v>2982</v>
      </c>
      <c r="F55" s="4">
        <v>2982</v>
      </c>
      <c r="G55" s="26">
        <v>2982</v>
      </c>
      <c r="H55" s="27">
        <f t="shared" si="9"/>
        <v>14910</v>
      </c>
    </row>
    <row r="56" spans="2:8" x14ac:dyDescent="0.45">
      <c r="B56" s="10">
        <v>4</v>
      </c>
      <c r="C56" s="4">
        <v>2556</v>
      </c>
      <c r="D56" s="4">
        <v>2556</v>
      </c>
      <c r="E56" s="4">
        <v>2556</v>
      </c>
      <c r="F56" s="4">
        <v>2556</v>
      </c>
      <c r="G56" s="26">
        <v>2556</v>
      </c>
      <c r="H56" s="27">
        <f t="shared" si="9"/>
        <v>12780</v>
      </c>
    </row>
    <row r="57" spans="2:8" x14ac:dyDescent="0.45">
      <c r="B57" s="10">
        <v>5</v>
      </c>
      <c r="C57" s="4">
        <v>4686</v>
      </c>
      <c r="D57" s="4">
        <v>4686</v>
      </c>
      <c r="E57" s="4">
        <v>4686</v>
      </c>
      <c r="F57" s="4">
        <v>4686</v>
      </c>
      <c r="G57" s="26">
        <v>4686</v>
      </c>
      <c r="H57" s="27">
        <f t="shared" si="9"/>
        <v>23430</v>
      </c>
    </row>
    <row r="58" spans="2:8" x14ac:dyDescent="0.45">
      <c r="B58" s="10">
        <v>6</v>
      </c>
      <c r="C58" s="4">
        <v>3834</v>
      </c>
      <c r="D58" s="4">
        <v>4260</v>
      </c>
      <c r="E58" s="4">
        <v>4260</v>
      </c>
      <c r="F58" s="4">
        <v>4686</v>
      </c>
      <c r="G58" s="26">
        <v>4686</v>
      </c>
      <c r="H58" s="27">
        <f t="shared" si="9"/>
        <v>21726</v>
      </c>
    </row>
    <row r="59" spans="2:8" x14ac:dyDescent="0.45">
      <c r="B59" s="10">
        <v>7</v>
      </c>
      <c r="C59" s="4">
        <v>2556</v>
      </c>
      <c r="D59" s="4">
        <v>2556</v>
      </c>
      <c r="E59" s="4">
        <v>2556</v>
      </c>
      <c r="F59" s="4">
        <v>2982</v>
      </c>
      <c r="G59" s="26">
        <v>2982</v>
      </c>
      <c r="H59" s="27">
        <f t="shared" si="9"/>
        <v>13632</v>
      </c>
    </row>
    <row r="60" spans="2:8" x14ac:dyDescent="0.45">
      <c r="B60" s="10">
        <v>8</v>
      </c>
      <c r="C60" s="4">
        <v>2130</v>
      </c>
      <c r="D60" s="4">
        <v>2130</v>
      </c>
      <c r="E60" s="4">
        <v>2130</v>
      </c>
      <c r="F60" s="4">
        <v>2130</v>
      </c>
      <c r="G60" s="26">
        <v>2130</v>
      </c>
      <c r="H60" s="27">
        <f t="shared" si="9"/>
        <v>10650</v>
      </c>
    </row>
    <row r="61" spans="2:8" x14ac:dyDescent="0.45">
      <c r="B61" s="10">
        <v>9</v>
      </c>
      <c r="C61" s="4">
        <v>852</v>
      </c>
      <c r="D61" s="4">
        <v>852</v>
      </c>
      <c r="E61" s="4">
        <v>852</v>
      </c>
      <c r="F61" s="4">
        <v>852</v>
      </c>
      <c r="G61" s="26">
        <v>1278</v>
      </c>
      <c r="H61" s="27">
        <f t="shared" si="9"/>
        <v>4686</v>
      </c>
    </row>
    <row r="62" spans="2:8" x14ac:dyDescent="0.45">
      <c r="B62" s="10">
        <v>10</v>
      </c>
      <c r="C62" s="4">
        <v>1278</v>
      </c>
      <c r="D62" s="4">
        <v>1278</v>
      </c>
      <c r="E62" s="4">
        <v>1278</v>
      </c>
      <c r="F62" s="4">
        <v>1278</v>
      </c>
      <c r="G62" s="26">
        <v>1278</v>
      </c>
      <c r="H62" s="27">
        <f t="shared" si="9"/>
        <v>6390</v>
      </c>
    </row>
    <row r="63" spans="2:8" x14ac:dyDescent="0.45">
      <c r="B63" s="10">
        <v>11</v>
      </c>
      <c r="C63" s="4">
        <v>5538</v>
      </c>
      <c r="D63" s="4">
        <v>5538</v>
      </c>
      <c r="E63" s="4">
        <v>5538</v>
      </c>
      <c r="F63" s="4">
        <v>5538</v>
      </c>
      <c r="G63" s="26">
        <v>5538</v>
      </c>
      <c r="H63" s="27">
        <f t="shared" si="9"/>
        <v>27690</v>
      </c>
    </row>
    <row r="64" spans="2:8" x14ac:dyDescent="0.45">
      <c r="B64" s="10">
        <v>12</v>
      </c>
      <c r="C64" s="4">
        <v>5112</v>
      </c>
      <c r="D64" s="4">
        <v>5112</v>
      </c>
      <c r="E64" s="4">
        <v>5538</v>
      </c>
      <c r="F64" s="4">
        <v>5538</v>
      </c>
      <c r="G64" s="26">
        <v>5538</v>
      </c>
      <c r="H64" s="27">
        <f t="shared" si="9"/>
        <v>26838</v>
      </c>
    </row>
    <row r="65" spans="2:18" x14ac:dyDescent="0.45">
      <c r="B65" s="10">
        <v>13</v>
      </c>
      <c r="C65" s="4">
        <v>6816</v>
      </c>
      <c r="D65" s="4">
        <v>7242</v>
      </c>
      <c r="E65" s="4">
        <v>7242</v>
      </c>
      <c r="F65" s="4">
        <v>7242</v>
      </c>
      <c r="G65" s="26">
        <v>7242</v>
      </c>
      <c r="H65" s="27">
        <f t="shared" si="9"/>
        <v>35784</v>
      </c>
    </row>
    <row r="66" spans="2:18" x14ac:dyDescent="0.45">
      <c r="B66" s="10">
        <v>14</v>
      </c>
      <c r="C66" s="4">
        <v>1278</v>
      </c>
      <c r="D66" s="4">
        <v>1278</v>
      </c>
      <c r="E66" s="4">
        <v>1704</v>
      </c>
      <c r="F66" s="4">
        <v>1704</v>
      </c>
      <c r="G66" s="26">
        <v>1704</v>
      </c>
      <c r="H66" s="27">
        <f t="shared" si="9"/>
        <v>7668</v>
      </c>
    </row>
    <row r="67" spans="2:18" x14ac:dyDescent="0.45">
      <c r="B67" s="10">
        <v>15</v>
      </c>
      <c r="C67" s="4">
        <v>2130</v>
      </c>
      <c r="D67" s="4">
        <v>2556</v>
      </c>
      <c r="E67" s="4">
        <v>2982</v>
      </c>
      <c r="F67" s="4">
        <v>2982</v>
      </c>
      <c r="G67" s="26">
        <v>3408</v>
      </c>
      <c r="H67" s="27">
        <f t="shared" si="9"/>
        <v>14058</v>
      </c>
    </row>
    <row r="68" spans="2:18" ht="14.65" thickBot="1" x14ac:dyDescent="0.5">
      <c r="B68" s="12">
        <v>16</v>
      </c>
      <c r="C68" s="13">
        <v>1278</v>
      </c>
      <c r="D68" s="13">
        <v>1704</v>
      </c>
      <c r="E68" s="13">
        <v>1704</v>
      </c>
      <c r="F68" s="13">
        <v>1704</v>
      </c>
      <c r="G68" s="22">
        <v>1704</v>
      </c>
      <c r="H68" s="28">
        <f t="shared" si="9"/>
        <v>8094</v>
      </c>
    </row>
    <row r="74" spans="2:18" ht="14.65" thickBot="1" x14ac:dyDescent="0.5">
      <c r="B74" s="1" t="s">
        <v>8</v>
      </c>
    </row>
    <row r="75" spans="2:18" x14ac:dyDescent="0.45">
      <c r="B75" s="7" t="s">
        <v>0</v>
      </c>
      <c r="C75" s="8" t="s">
        <v>30</v>
      </c>
      <c r="D75" s="8" t="s">
        <v>31</v>
      </c>
      <c r="E75" s="8">
        <v>2013</v>
      </c>
      <c r="F75" s="8">
        <v>2014</v>
      </c>
      <c r="G75" s="8">
        <v>2015</v>
      </c>
      <c r="H75" s="8">
        <v>2016</v>
      </c>
      <c r="I75" s="9">
        <v>2017</v>
      </c>
      <c r="J75" s="7">
        <v>2013</v>
      </c>
      <c r="K75" s="8">
        <v>2014</v>
      </c>
      <c r="L75" s="8">
        <v>2015</v>
      </c>
      <c r="M75" s="8">
        <v>2016</v>
      </c>
      <c r="N75" s="9">
        <v>2017</v>
      </c>
      <c r="O75" s="7" t="s">
        <v>14</v>
      </c>
      <c r="P75" s="8" t="s">
        <v>15</v>
      </c>
      <c r="Q75" s="8" t="s">
        <v>16</v>
      </c>
      <c r="R75" s="9" t="s">
        <v>5</v>
      </c>
    </row>
    <row r="76" spans="2:18" x14ac:dyDescent="0.45">
      <c r="B76" s="10">
        <v>1</v>
      </c>
      <c r="C76" s="3">
        <v>0</v>
      </c>
      <c r="D76" s="4">
        <f t="shared" ref="D76:D91" si="10">SUM(E76:I76)</f>
        <v>0</v>
      </c>
      <c r="E76" s="29">
        <v>0</v>
      </c>
      <c r="F76" s="29">
        <v>0</v>
      </c>
      <c r="G76" s="29">
        <v>0</v>
      </c>
      <c r="H76" s="29">
        <v>0</v>
      </c>
      <c r="I76" s="30">
        <v>0</v>
      </c>
      <c r="J76" s="33">
        <v>0</v>
      </c>
      <c r="K76" s="29">
        <v>0</v>
      </c>
      <c r="L76" s="29">
        <v>0</v>
      </c>
      <c r="M76" s="29">
        <v>0</v>
      </c>
      <c r="N76" s="30">
        <v>0</v>
      </c>
      <c r="O76" s="33">
        <v>138.99999999999972</v>
      </c>
      <c r="P76" s="29">
        <v>0</v>
      </c>
      <c r="Q76" s="4">
        <f t="shared" ref="Q76:Q91" si="11">C116-P76+O76</f>
        <v>2268.9999999999995</v>
      </c>
      <c r="R76" s="16">
        <f t="shared" ref="R76:R91" si="12">P4</f>
        <v>2269</v>
      </c>
    </row>
    <row r="77" spans="2:18" x14ac:dyDescent="0.45">
      <c r="B77" s="10">
        <v>2</v>
      </c>
      <c r="C77" s="3">
        <v>1</v>
      </c>
      <c r="D77" s="4">
        <f t="shared" si="10"/>
        <v>0</v>
      </c>
      <c r="E77" s="29">
        <v>0</v>
      </c>
      <c r="F77" s="29">
        <v>0</v>
      </c>
      <c r="G77" s="29">
        <v>0</v>
      </c>
      <c r="H77" s="29">
        <v>0</v>
      </c>
      <c r="I77" s="30">
        <v>0</v>
      </c>
      <c r="J77" s="33">
        <v>0</v>
      </c>
      <c r="K77" s="29">
        <v>0</v>
      </c>
      <c r="L77" s="29">
        <v>0</v>
      </c>
      <c r="M77" s="29">
        <v>0</v>
      </c>
      <c r="N77" s="30">
        <v>0</v>
      </c>
      <c r="O77" s="33">
        <v>0</v>
      </c>
      <c r="P77" s="29">
        <v>774</v>
      </c>
      <c r="Q77" s="4">
        <f t="shared" si="11"/>
        <v>9876</v>
      </c>
      <c r="R77" s="16">
        <f t="shared" si="12"/>
        <v>9876</v>
      </c>
    </row>
    <row r="78" spans="2:18" x14ac:dyDescent="0.45">
      <c r="B78" s="10">
        <v>3</v>
      </c>
      <c r="C78" s="3">
        <v>0</v>
      </c>
      <c r="D78" s="4">
        <f t="shared" si="10"/>
        <v>0</v>
      </c>
      <c r="E78" s="29">
        <v>0</v>
      </c>
      <c r="F78" s="29">
        <v>0</v>
      </c>
      <c r="G78" s="29">
        <v>0</v>
      </c>
      <c r="H78" s="29">
        <v>0</v>
      </c>
      <c r="I78" s="30">
        <v>0</v>
      </c>
      <c r="J78" s="33">
        <v>1</v>
      </c>
      <c r="K78" s="29">
        <v>0</v>
      </c>
      <c r="L78" s="29">
        <v>0</v>
      </c>
      <c r="M78" s="29">
        <v>0</v>
      </c>
      <c r="N78" s="30">
        <v>0</v>
      </c>
      <c r="O78" s="33">
        <v>692.00000000000045</v>
      </c>
      <c r="P78" s="29">
        <v>0</v>
      </c>
      <c r="Q78" s="4">
        <f t="shared" si="11"/>
        <v>15602</v>
      </c>
      <c r="R78" s="16">
        <f t="shared" si="12"/>
        <v>15602</v>
      </c>
    </row>
    <row r="79" spans="2:18" x14ac:dyDescent="0.45">
      <c r="B79" s="10">
        <v>4</v>
      </c>
      <c r="C79" s="3">
        <v>2</v>
      </c>
      <c r="D79" s="4">
        <f t="shared" si="10"/>
        <v>2</v>
      </c>
      <c r="E79" s="29">
        <v>2</v>
      </c>
      <c r="F79" s="29">
        <v>0</v>
      </c>
      <c r="G79" s="29">
        <v>0</v>
      </c>
      <c r="H79" s="29">
        <v>0</v>
      </c>
      <c r="I79" s="30">
        <v>0</v>
      </c>
      <c r="J79" s="33">
        <v>0</v>
      </c>
      <c r="K79" s="29">
        <v>0</v>
      </c>
      <c r="L79" s="29">
        <v>0</v>
      </c>
      <c r="M79" s="29">
        <v>0</v>
      </c>
      <c r="N79" s="30">
        <v>0</v>
      </c>
      <c r="O79" s="33">
        <v>65</v>
      </c>
      <c r="P79" s="29">
        <v>0</v>
      </c>
      <c r="Q79" s="4">
        <f t="shared" si="11"/>
        <v>12845</v>
      </c>
      <c r="R79" s="16">
        <f t="shared" si="12"/>
        <v>12845</v>
      </c>
    </row>
    <row r="80" spans="2:18" x14ac:dyDescent="0.45">
      <c r="B80" s="10">
        <v>5</v>
      </c>
      <c r="C80" s="3">
        <v>1</v>
      </c>
      <c r="D80" s="4">
        <f t="shared" si="10"/>
        <v>0</v>
      </c>
      <c r="E80" s="29">
        <v>0</v>
      </c>
      <c r="F80" s="29">
        <v>0</v>
      </c>
      <c r="G80" s="29">
        <v>0</v>
      </c>
      <c r="H80" s="29">
        <v>0</v>
      </c>
      <c r="I80" s="30">
        <v>0</v>
      </c>
      <c r="J80" s="33">
        <v>0</v>
      </c>
      <c r="K80" s="29">
        <v>0</v>
      </c>
      <c r="L80" s="29">
        <v>0</v>
      </c>
      <c r="M80" s="29">
        <v>0</v>
      </c>
      <c r="N80" s="30">
        <v>0</v>
      </c>
      <c r="O80" s="33">
        <v>0</v>
      </c>
      <c r="P80" s="29">
        <v>278</v>
      </c>
      <c r="Q80" s="4">
        <f t="shared" si="11"/>
        <v>23152</v>
      </c>
      <c r="R80" s="16">
        <f t="shared" si="12"/>
        <v>23152</v>
      </c>
    </row>
    <row r="81" spans="2:18" x14ac:dyDescent="0.45">
      <c r="B81" s="10">
        <v>6</v>
      </c>
      <c r="C81" s="3">
        <v>1</v>
      </c>
      <c r="D81" s="4">
        <f t="shared" si="10"/>
        <v>1</v>
      </c>
      <c r="E81" s="29">
        <v>0</v>
      </c>
      <c r="F81" s="29">
        <v>1</v>
      </c>
      <c r="G81" s="29">
        <v>0</v>
      </c>
      <c r="H81" s="29">
        <v>0</v>
      </c>
      <c r="I81" s="30">
        <v>0</v>
      </c>
      <c r="J81" s="33">
        <v>0</v>
      </c>
      <c r="K81" s="29">
        <v>0</v>
      </c>
      <c r="L81" s="29">
        <v>0</v>
      </c>
      <c r="M81" s="29">
        <v>1</v>
      </c>
      <c r="N81" s="30">
        <v>0</v>
      </c>
      <c r="O81" s="33">
        <v>768.00000000000023</v>
      </c>
      <c r="P81" s="29">
        <v>0</v>
      </c>
      <c r="Q81" s="4">
        <f t="shared" si="11"/>
        <v>22494</v>
      </c>
      <c r="R81" s="16">
        <f t="shared" si="12"/>
        <v>22494</v>
      </c>
    </row>
    <row r="82" spans="2:18" x14ac:dyDescent="0.45">
      <c r="B82" s="10">
        <v>7</v>
      </c>
      <c r="C82" s="3">
        <v>2</v>
      </c>
      <c r="D82" s="4">
        <f t="shared" si="10"/>
        <v>1</v>
      </c>
      <c r="E82" s="29">
        <v>0</v>
      </c>
      <c r="F82" s="29">
        <v>0</v>
      </c>
      <c r="G82" s="29">
        <v>0</v>
      </c>
      <c r="H82" s="29">
        <v>1</v>
      </c>
      <c r="I82" s="30">
        <v>0</v>
      </c>
      <c r="J82" s="33">
        <v>0</v>
      </c>
      <c r="K82" s="29">
        <v>0</v>
      </c>
      <c r="L82" s="29">
        <v>0</v>
      </c>
      <c r="M82" s="29">
        <v>0</v>
      </c>
      <c r="N82" s="30">
        <v>0</v>
      </c>
      <c r="O82" s="33">
        <v>0</v>
      </c>
      <c r="P82" s="29">
        <v>63.999999999999929</v>
      </c>
      <c r="Q82" s="4">
        <f t="shared" si="11"/>
        <v>13568</v>
      </c>
      <c r="R82" s="16">
        <f t="shared" si="12"/>
        <v>13568</v>
      </c>
    </row>
    <row r="83" spans="2:18" x14ac:dyDescent="0.45">
      <c r="B83" s="10">
        <v>8</v>
      </c>
      <c r="C83" s="3">
        <v>1</v>
      </c>
      <c r="D83" s="4">
        <f t="shared" si="10"/>
        <v>0</v>
      </c>
      <c r="E83" s="29">
        <v>0</v>
      </c>
      <c r="F83" s="29">
        <v>0</v>
      </c>
      <c r="G83" s="29">
        <v>0</v>
      </c>
      <c r="H83" s="29">
        <v>0</v>
      </c>
      <c r="I83" s="30">
        <v>0</v>
      </c>
      <c r="J83" s="33">
        <v>0</v>
      </c>
      <c r="K83" s="29">
        <v>0</v>
      </c>
      <c r="L83" s="29">
        <v>0</v>
      </c>
      <c r="M83" s="29">
        <v>0</v>
      </c>
      <c r="N83" s="30">
        <v>0</v>
      </c>
      <c r="O83" s="33">
        <v>0</v>
      </c>
      <c r="P83" s="29">
        <v>748</v>
      </c>
      <c r="Q83" s="4">
        <f t="shared" si="11"/>
        <v>9902</v>
      </c>
      <c r="R83" s="16">
        <f t="shared" si="12"/>
        <v>9902</v>
      </c>
    </row>
    <row r="84" spans="2:18" x14ac:dyDescent="0.45">
      <c r="B84" s="10">
        <v>9</v>
      </c>
      <c r="C84" s="3">
        <v>1</v>
      </c>
      <c r="D84" s="4">
        <f t="shared" si="10"/>
        <v>1</v>
      </c>
      <c r="E84" s="29">
        <v>0</v>
      </c>
      <c r="F84" s="29">
        <v>0</v>
      </c>
      <c r="G84" s="29">
        <v>0</v>
      </c>
      <c r="H84" s="29">
        <v>0</v>
      </c>
      <c r="I84" s="30">
        <v>1</v>
      </c>
      <c r="J84" s="33">
        <v>0</v>
      </c>
      <c r="K84" s="29">
        <v>0</v>
      </c>
      <c r="L84" s="29">
        <v>0</v>
      </c>
      <c r="M84" s="29">
        <v>0</v>
      </c>
      <c r="N84" s="30">
        <v>0</v>
      </c>
      <c r="O84" s="33">
        <v>100.00000000000023</v>
      </c>
      <c r="P84" s="29">
        <v>0</v>
      </c>
      <c r="Q84" s="4">
        <f t="shared" si="11"/>
        <v>4786</v>
      </c>
      <c r="R84" s="16">
        <f t="shared" si="12"/>
        <v>4786</v>
      </c>
    </row>
    <row r="85" spans="2:18" x14ac:dyDescent="0.45">
      <c r="B85" s="10">
        <v>10</v>
      </c>
      <c r="C85" s="3">
        <v>1</v>
      </c>
      <c r="D85" s="4">
        <f t="shared" si="10"/>
        <v>0</v>
      </c>
      <c r="E85" s="29">
        <v>0</v>
      </c>
      <c r="F85" s="29">
        <v>0</v>
      </c>
      <c r="G85" s="29">
        <v>0</v>
      </c>
      <c r="H85" s="29">
        <v>0</v>
      </c>
      <c r="I85" s="30">
        <v>0</v>
      </c>
      <c r="J85" s="33">
        <v>0</v>
      </c>
      <c r="K85" s="29">
        <v>0</v>
      </c>
      <c r="L85" s="29">
        <v>0</v>
      </c>
      <c r="M85" s="29">
        <v>0</v>
      </c>
      <c r="N85" s="30">
        <v>0</v>
      </c>
      <c r="O85" s="33">
        <v>0</v>
      </c>
      <c r="P85" s="29">
        <v>135</v>
      </c>
      <c r="Q85" s="4">
        <f t="shared" si="11"/>
        <v>6255</v>
      </c>
      <c r="R85" s="16">
        <f t="shared" si="12"/>
        <v>6255</v>
      </c>
    </row>
    <row r="86" spans="2:18" x14ac:dyDescent="0.45">
      <c r="B86" s="10">
        <v>11</v>
      </c>
      <c r="C86" s="3">
        <v>0</v>
      </c>
      <c r="D86" s="4">
        <f t="shared" si="10"/>
        <v>0</v>
      </c>
      <c r="E86" s="29">
        <v>0</v>
      </c>
      <c r="F86" s="29">
        <v>0</v>
      </c>
      <c r="G86" s="29">
        <v>0</v>
      </c>
      <c r="H86" s="29">
        <v>0</v>
      </c>
      <c r="I86" s="30">
        <v>0</v>
      </c>
      <c r="J86" s="33">
        <v>0</v>
      </c>
      <c r="K86" s="29">
        <v>0</v>
      </c>
      <c r="L86" s="29">
        <v>0</v>
      </c>
      <c r="M86" s="29">
        <v>0</v>
      </c>
      <c r="N86" s="30">
        <v>0</v>
      </c>
      <c r="O86" s="33">
        <v>0</v>
      </c>
      <c r="P86" s="29">
        <v>1703</v>
      </c>
      <c r="Q86" s="4">
        <f t="shared" si="11"/>
        <v>25987</v>
      </c>
      <c r="R86" s="16">
        <f t="shared" si="12"/>
        <v>25987</v>
      </c>
    </row>
    <row r="87" spans="2:18" x14ac:dyDescent="0.45">
      <c r="B87" s="10">
        <v>12</v>
      </c>
      <c r="C87" s="3">
        <v>1</v>
      </c>
      <c r="D87" s="4">
        <f t="shared" si="10"/>
        <v>1</v>
      </c>
      <c r="E87" s="29">
        <v>0</v>
      </c>
      <c r="F87" s="29">
        <v>0</v>
      </c>
      <c r="G87" s="29">
        <v>1</v>
      </c>
      <c r="H87" s="29">
        <v>0</v>
      </c>
      <c r="I87" s="30">
        <v>0</v>
      </c>
      <c r="J87" s="33">
        <v>0</v>
      </c>
      <c r="K87" s="29">
        <v>0</v>
      </c>
      <c r="L87" s="29">
        <v>0</v>
      </c>
      <c r="M87" s="29">
        <v>0</v>
      </c>
      <c r="N87" s="30">
        <v>0</v>
      </c>
      <c r="O87" s="33">
        <v>130</v>
      </c>
      <c r="P87" s="29">
        <v>0</v>
      </c>
      <c r="Q87" s="4">
        <f t="shared" si="11"/>
        <v>26968</v>
      </c>
      <c r="R87" s="16">
        <f t="shared" si="12"/>
        <v>26968</v>
      </c>
    </row>
    <row r="88" spans="2:18" x14ac:dyDescent="0.45">
      <c r="B88" s="10">
        <v>13</v>
      </c>
      <c r="C88" s="3">
        <v>1</v>
      </c>
      <c r="D88" s="4">
        <f t="shared" si="10"/>
        <v>1</v>
      </c>
      <c r="E88" s="29">
        <v>0</v>
      </c>
      <c r="F88" s="29">
        <v>1</v>
      </c>
      <c r="G88" s="29">
        <v>0</v>
      </c>
      <c r="H88" s="29">
        <v>0</v>
      </c>
      <c r="I88" s="30">
        <v>0</v>
      </c>
      <c r="J88" s="33">
        <v>0</v>
      </c>
      <c r="K88" s="29">
        <v>0</v>
      </c>
      <c r="L88" s="29">
        <v>0</v>
      </c>
      <c r="M88" s="29">
        <v>0</v>
      </c>
      <c r="N88" s="30">
        <v>0</v>
      </c>
      <c r="O88" s="33">
        <v>46.999999999999972</v>
      </c>
      <c r="P88" s="29">
        <v>0</v>
      </c>
      <c r="Q88" s="4">
        <f t="shared" si="11"/>
        <v>35831</v>
      </c>
      <c r="R88" s="16">
        <f t="shared" si="12"/>
        <v>35831</v>
      </c>
    </row>
    <row r="89" spans="2:18" x14ac:dyDescent="0.45">
      <c r="B89" s="10">
        <v>14</v>
      </c>
      <c r="C89" s="3">
        <v>1</v>
      </c>
      <c r="D89" s="4">
        <f t="shared" si="10"/>
        <v>1</v>
      </c>
      <c r="E89" s="29">
        <v>0</v>
      </c>
      <c r="F89" s="29">
        <v>0</v>
      </c>
      <c r="G89" s="29">
        <v>1</v>
      </c>
      <c r="H89" s="29">
        <v>0</v>
      </c>
      <c r="I89" s="30">
        <v>0</v>
      </c>
      <c r="J89" s="33">
        <v>0</v>
      </c>
      <c r="K89" s="29">
        <v>0</v>
      </c>
      <c r="L89" s="29">
        <v>0</v>
      </c>
      <c r="M89" s="29">
        <v>0</v>
      </c>
      <c r="N89" s="30">
        <v>0</v>
      </c>
      <c r="O89" s="33">
        <v>0</v>
      </c>
      <c r="P89" s="29">
        <v>126.99999999999999</v>
      </c>
      <c r="Q89" s="4">
        <f t="shared" si="11"/>
        <v>7541</v>
      </c>
      <c r="R89" s="16">
        <f t="shared" si="12"/>
        <v>7541</v>
      </c>
    </row>
    <row r="90" spans="2:18" x14ac:dyDescent="0.45">
      <c r="B90" s="10">
        <v>15</v>
      </c>
      <c r="C90" s="3">
        <v>3</v>
      </c>
      <c r="D90" s="4">
        <f t="shared" si="10"/>
        <v>3</v>
      </c>
      <c r="E90" s="29">
        <v>2</v>
      </c>
      <c r="F90" s="29">
        <v>1</v>
      </c>
      <c r="G90" s="29">
        <v>0</v>
      </c>
      <c r="H90" s="29">
        <v>0</v>
      </c>
      <c r="I90" s="30">
        <v>0</v>
      </c>
      <c r="J90" s="33">
        <v>0</v>
      </c>
      <c r="K90" s="29">
        <v>0</v>
      </c>
      <c r="L90" s="29">
        <v>1</v>
      </c>
      <c r="M90" s="29">
        <v>0</v>
      </c>
      <c r="N90" s="30">
        <v>1</v>
      </c>
      <c r="O90" s="33">
        <v>251.99999999999889</v>
      </c>
      <c r="P90" s="29">
        <v>0</v>
      </c>
      <c r="Q90" s="4">
        <f t="shared" si="11"/>
        <v>14309.999999999998</v>
      </c>
      <c r="R90" s="16">
        <f t="shared" si="12"/>
        <v>14310</v>
      </c>
    </row>
    <row r="91" spans="2:18" ht="14.65" thickBot="1" x14ac:dyDescent="0.5">
      <c r="B91" s="10">
        <v>16</v>
      </c>
      <c r="C91" s="3">
        <v>0</v>
      </c>
      <c r="D91" s="4">
        <f t="shared" si="10"/>
        <v>0</v>
      </c>
      <c r="E91" s="29">
        <v>0</v>
      </c>
      <c r="F91" s="29">
        <v>0</v>
      </c>
      <c r="G91" s="29">
        <v>0</v>
      </c>
      <c r="H91" s="29">
        <v>0</v>
      </c>
      <c r="I91" s="30">
        <v>0</v>
      </c>
      <c r="J91" s="33">
        <v>0</v>
      </c>
      <c r="K91" s="29">
        <v>1</v>
      </c>
      <c r="L91" s="29">
        <v>0</v>
      </c>
      <c r="M91" s="29">
        <v>0</v>
      </c>
      <c r="N91" s="30">
        <v>0</v>
      </c>
      <c r="O91" s="34">
        <v>215.0000000000002</v>
      </c>
      <c r="P91" s="35">
        <v>0</v>
      </c>
      <c r="Q91" s="13">
        <f t="shared" si="11"/>
        <v>8309</v>
      </c>
      <c r="R91" s="14">
        <f t="shared" si="12"/>
        <v>8309</v>
      </c>
    </row>
    <row r="92" spans="2:18" x14ac:dyDescent="0.45">
      <c r="B92" s="10" t="s">
        <v>2</v>
      </c>
      <c r="C92" s="4">
        <f>SUM(C76:C91)</f>
        <v>16</v>
      </c>
      <c r="D92" s="4">
        <f t="shared" ref="D92" si="13">SUM(D76:D91)</f>
        <v>11</v>
      </c>
      <c r="E92" s="4">
        <f t="shared" ref="E92:I92" si="14">SUM(E76:E91)</f>
        <v>4</v>
      </c>
      <c r="F92" s="4">
        <f t="shared" si="14"/>
        <v>3</v>
      </c>
      <c r="G92" s="4">
        <f t="shared" si="14"/>
        <v>2</v>
      </c>
      <c r="H92" s="4">
        <f t="shared" si="14"/>
        <v>1</v>
      </c>
      <c r="I92" s="16">
        <f t="shared" si="14"/>
        <v>1</v>
      </c>
      <c r="J92" s="20">
        <f>SUM(J76:J91)</f>
        <v>1</v>
      </c>
      <c r="K92" s="4">
        <f t="shared" ref="K92:N92" si="15">SUM(K76:K91)</f>
        <v>1</v>
      </c>
      <c r="L92" s="4">
        <f t="shared" si="15"/>
        <v>1</v>
      </c>
      <c r="M92" s="4">
        <f t="shared" si="15"/>
        <v>1</v>
      </c>
      <c r="N92" s="16">
        <f t="shared" si="15"/>
        <v>1</v>
      </c>
    </row>
    <row r="93" spans="2:18" ht="14.65" thickBot="1" x14ac:dyDescent="0.5">
      <c r="B93" s="12" t="s">
        <v>9</v>
      </c>
      <c r="C93" s="2">
        <f>C92</f>
        <v>16</v>
      </c>
      <c r="D93" s="2">
        <f>C92</f>
        <v>16</v>
      </c>
      <c r="E93" s="31">
        <v>4</v>
      </c>
      <c r="F93" s="31">
        <v>3</v>
      </c>
      <c r="G93" s="31">
        <v>5</v>
      </c>
      <c r="H93" s="31">
        <v>2</v>
      </c>
      <c r="I93" s="32">
        <v>2</v>
      </c>
      <c r="J93" s="41">
        <v>1</v>
      </c>
      <c r="K93" s="31">
        <v>1</v>
      </c>
      <c r="L93" s="31">
        <v>1</v>
      </c>
      <c r="M93" s="31">
        <v>1</v>
      </c>
      <c r="N93" s="32">
        <v>1</v>
      </c>
    </row>
    <row r="98" spans="2:14" ht="14.65" thickBot="1" x14ac:dyDescent="0.5"/>
    <row r="99" spans="2:14" ht="14.65" thickBot="1" x14ac:dyDescent="0.5">
      <c r="B99" s="40" t="s">
        <v>34</v>
      </c>
      <c r="I99" s="40" t="s">
        <v>35</v>
      </c>
    </row>
    <row r="100" spans="2:14" x14ac:dyDescent="0.45">
      <c r="B100" s="39"/>
      <c r="C100" s="8">
        <v>2013</v>
      </c>
      <c r="D100" s="8">
        <v>2014</v>
      </c>
      <c r="E100" s="8">
        <v>2015</v>
      </c>
      <c r="F100" s="8">
        <v>2016</v>
      </c>
      <c r="G100" s="9">
        <v>2017</v>
      </c>
      <c r="I100" s="39"/>
      <c r="J100" s="8">
        <v>2013</v>
      </c>
      <c r="K100" s="8">
        <v>2014</v>
      </c>
      <c r="L100" s="8">
        <v>2015</v>
      </c>
      <c r="M100" s="8">
        <v>2016</v>
      </c>
      <c r="N100" s="9">
        <v>2017</v>
      </c>
    </row>
    <row r="101" spans="2:14" x14ac:dyDescent="0.45">
      <c r="B101" s="10" t="s">
        <v>32</v>
      </c>
      <c r="C101" s="4">
        <f t="shared" ref="C101:G102" si="16">E92</f>
        <v>4</v>
      </c>
      <c r="D101" s="4">
        <f t="shared" si="16"/>
        <v>3</v>
      </c>
      <c r="E101" s="4">
        <f t="shared" si="16"/>
        <v>2</v>
      </c>
      <c r="F101" s="4">
        <f t="shared" si="16"/>
        <v>1</v>
      </c>
      <c r="G101" s="16">
        <f t="shared" si="16"/>
        <v>1</v>
      </c>
      <c r="I101" s="10" t="s">
        <v>32</v>
      </c>
      <c r="J101" s="4">
        <f>J92</f>
        <v>1</v>
      </c>
      <c r="K101" s="4">
        <f>K92</f>
        <v>1</v>
      </c>
      <c r="L101" s="4">
        <f>L92</f>
        <v>1</v>
      </c>
      <c r="M101" s="4">
        <f>M92</f>
        <v>1</v>
      </c>
      <c r="N101" s="16">
        <f>N92</f>
        <v>1</v>
      </c>
    </row>
    <row r="102" spans="2:14" ht="14.65" thickBot="1" x14ac:dyDescent="0.5">
      <c r="B102" s="12" t="s">
        <v>33</v>
      </c>
      <c r="C102" s="31">
        <f t="shared" si="16"/>
        <v>4</v>
      </c>
      <c r="D102" s="31">
        <f t="shared" si="16"/>
        <v>3</v>
      </c>
      <c r="E102" s="31">
        <f t="shared" si="16"/>
        <v>5</v>
      </c>
      <c r="F102" s="31">
        <f t="shared" si="16"/>
        <v>2</v>
      </c>
      <c r="G102" s="32">
        <f t="shared" si="16"/>
        <v>2</v>
      </c>
      <c r="I102" s="12" t="s">
        <v>33</v>
      </c>
      <c r="J102" s="31">
        <v>1</v>
      </c>
      <c r="K102" s="31">
        <v>1</v>
      </c>
      <c r="L102" s="31">
        <v>1</v>
      </c>
      <c r="M102" s="31">
        <v>1</v>
      </c>
      <c r="N102" s="32">
        <v>1</v>
      </c>
    </row>
    <row r="105" spans="2:14" x14ac:dyDescent="0.45">
      <c r="C105" s="4">
        <f>D116-C116</f>
        <v>139</v>
      </c>
    </row>
    <row r="107" spans="2:14" ht="14.65" thickBot="1" x14ac:dyDescent="0.5"/>
    <row r="108" spans="2:14" ht="14.65" thickBot="1" x14ac:dyDescent="0.5">
      <c r="B108" s="36" t="s">
        <v>19</v>
      </c>
      <c r="C108" s="38">
        <f>SUM(O76:P91)</f>
        <v>6237</v>
      </c>
    </row>
    <row r="114" spans="2:6" ht="14.65" thickBot="1" x14ac:dyDescent="0.5">
      <c r="B114" s="1" t="s">
        <v>20</v>
      </c>
    </row>
    <row r="115" spans="2:6" x14ac:dyDescent="0.45">
      <c r="B115" s="7" t="s">
        <v>0</v>
      </c>
      <c r="C115" s="7" t="s">
        <v>6</v>
      </c>
      <c r="D115" s="8" t="s">
        <v>5</v>
      </c>
      <c r="E115" s="8" t="s">
        <v>10</v>
      </c>
      <c r="F115" s="9" t="s">
        <v>13</v>
      </c>
    </row>
    <row r="116" spans="2:6" x14ac:dyDescent="0.45">
      <c r="B116" s="10">
        <v>1</v>
      </c>
      <c r="C116" s="20">
        <f t="shared" ref="C116:C131" si="17">H53</f>
        <v>2130</v>
      </c>
      <c r="D116" s="4">
        <f t="shared" ref="D116:D131" si="18">P4</f>
        <v>2269</v>
      </c>
      <c r="F116" s="16">
        <f>ABS(C105)</f>
        <v>139</v>
      </c>
    </row>
    <row r="117" spans="2:6" x14ac:dyDescent="0.45">
      <c r="B117" s="10">
        <v>2</v>
      </c>
      <c r="C117" s="20">
        <f t="shared" si="17"/>
        <v>10650</v>
      </c>
      <c r="D117" s="4">
        <f t="shared" si="18"/>
        <v>9876</v>
      </c>
      <c r="E117" s="4">
        <f t="shared" ref="E117:E131" si="19">D117-C117</f>
        <v>-774</v>
      </c>
      <c r="F117" s="16">
        <f t="shared" ref="F117:F131" si="20">ABS(E117)</f>
        <v>774</v>
      </c>
    </row>
    <row r="118" spans="2:6" x14ac:dyDescent="0.45">
      <c r="B118" s="10">
        <v>3</v>
      </c>
      <c r="C118" s="20">
        <f t="shared" si="17"/>
        <v>14910</v>
      </c>
      <c r="D118" s="4">
        <f t="shared" si="18"/>
        <v>15602</v>
      </c>
      <c r="E118" s="4">
        <f t="shared" si="19"/>
        <v>692</v>
      </c>
      <c r="F118" s="16">
        <f t="shared" si="20"/>
        <v>692</v>
      </c>
    </row>
    <row r="119" spans="2:6" x14ac:dyDescent="0.45">
      <c r="B119" s="10">
        <v>4</v>
      </c>
      <c r="C119" s="20">
        <f t="shared" si="17"/>
        <v>12780</v>
      </c>
      <c r="D119" s="4">
        <f t="shared" si="18"/>
        <v>12845</v>
      </c>
      <c r="E119" s="4">
        <f t="shared" si="19"/>
        <v>65</v>
      </c>
      <c r="F119" s="16">
        <f t="shared" si="20"/>
        <v>65</v>
      </c>
    </row>
    <row r="120" spans="2:6" x14ac:dyDescent="0.45">
      <c r="B120" s="10">
        <v>5</v>
      </c>
      <c r="C120" s="20">
        <f t="shared" si="17"/>
        <v>23430</v>
      </c>
      <c r="D120" s="4">
        <f t="shared" si="18"/>
        <v>23152</v>
      </c>
      <c r="E120" s="4">
        <f t="shared" si="19"/>
        <v>-278</v>
      </c>
      <c r="F120" s="16">
        <f t="shared" si="20"/>
        <v>278</v>
      </c>
    </row>
    <row r="121" spans="2:6" x14ac:dyDescent="0.45">
      <c r="B121" s="10">
        <v>6</v>
      </c>
      <c r="C121" s="20">
        <f t="shared" si="17"/>
        <v>21726</v>
      </c>
      <c r="D121" s="4">
        <f t="shared" si="18"/>
        <v>22494</v>
      </c>
      <c r="E121" s="4">
        <f t="shared" si="19"/>
        <v>768</v>
      </c>
      <c r="F121" s="16">
        <f t="shared" si="20"/>
        <v>768</v>
      </c>
    </row>
    <row r="122" spans="2:6" x14ac:dyDescent="0.45">
      <c r="B122" s="10">
        <v>7</v>
      </c>
      <c r="C122" s="20">
        <f t="shared" si="17"/>
        <v>13632</v>
      </c>
      <c r="D122" s="4">
        <f t="shared" si="18"/>
        <v>13568</v>
      </c>
      <c r="E122" s="4">
        <f t="shared" si="19"/>
        <v>-64</v>
      </c>
      <c r="F122" s="16">
        <f t="shared" si="20"/>
        <v>64</v>
      </c>
    </row>
    <row r="123" spans="2:6" x14ac:dyDescent="0.45">
      <c r="B123" s="10">
        <v>8</v>
      </c>
      <c r="C123" s="20">
        <f t="shared" si="17"/>
        <v>10650</v>
      </c>
      <c r="D123" s="4">
        <f t="shared" si="18"/>
        <v>9902</v>
      </c>
      <c r="E123" s="4">
        <f t="shared" si="19"/>
        <v>-748</v>
      </c>
      <c r="F123" s="16">
        <f t="shared" si="20"/>
        <v>748</v>
      </c>
    </row>
    <row r="124" spans="2:6" x14ac:dyDescent="0.45">
      <c r="B124" s="10">
        <v>9</v>
      </c>
      <c r="C124" s="20">
        <f t="shared" si="17"/>
        <v>4686</v>
      </c>
      <c r="D124" s="4">
        <f t="shared" si="18"/>
        <v>4786</v>
      </c>
      <c r="E124" s="4">
        <f t="shared" si="19"/>
        <v>100</v>
      </c>
      <c r="F124" s="16">
        <f t="shared" si="20"/>
        <v>100</v>
      </c>
    </row>
    <row r="125" spans="2:6" x14ac:dyDescent="0.45">
      <c r="B125" s="10">
        <v>10</v>
      </c>
      <c r="C125" s="20">
        <f t="shared" si="17"/>
        <v>6390</v>
      </c>
      <c r="D125" s="4">
        <f t="shared" si="18"/>
        <v>6255</v>
      </c>
      <c r="E125" s="4">
        <f t="shared" si="19"/>
        <v>-135</v>
      </c>
      <c r="F125" s="16">
        <f t="shared" si="20"/>
        <v>135</v>
      </c>
    </row>
    <row r="126" spans="2:6" x14ac:dyDescent="0.45">
      <c r="B126" s="10">
        <v>11</v>
      </c>
      <c r="C126" s="20">
        <f t="shared" si="17"/>
        <v>27690</v>
      </c>
      <c r="D126" s="4">
        <f t="shared" si="18"/>
        <v>25987</v>
      </c>
      <c r="E126" s="4">
        <f t="shared" si="19"/>
        <v>-1703</v>
      </c>
      <c r="F126" s="16">
        <f t="shared" si="20"/>
        <v>1703</v>
      </c>
    </row>
    <row r="127" spans="2:6" x14ac:dyDescent="0.45">
      <c r="B127" s="10">
        <v>12</v>
      </c>
      <c r="C127" s="20">
        <f t="shared" si="17"/>
        <v>26838</v>
      </c>
      <c r="D127" s="4">
        <f t="shared" si="18"/>
        <v>26968</v>
      </c>
      <c r="E127" s="4">
        <f t="shared" si="19"/>
        <v>130</v>
      </c>
      <c r="F127" s="16">
        <f t="shared" si="20"/>
        <v>130</v>
      </c>
    </row>
    <row r="128" spans="2:6" x14ac:dyDescent="0.45">
      <c r="B128" s="10">
        <v>13</v>
      </c>
      <c r="C128" s="20">
        <f t="shared" si="17"/>
        <v>35784</v>
      </c>
      <c r="D128" s="4">
        <f t="shared" si="18"/>
        <v>35831</v>
      </c>
      <c r="E128" s="4">
        <f t="shared" si="19"/>
        <v>47</v>
      </c>
      <c r="F128" s="16">
        <f t="shared" si="20"/>
        <v>47</v>
      </c>
    </row>
    <row r="129" spans="2:6" x14ac:dyDescent="0.45">
      <c r="B129" s="10">
        <v>14</v>
      </c>
      <c r="C129" s="20">
        <f t="shared" si="17"/>
        <v>7668</v>
      </c>
      <c r="D129" s="4">
        <f t="shared" si="18"/>
        <v>7541</v>
      </c>
      <c r="E129" s="4">
        <f t="shared" si="19"/>
        <v>-127</v>
      </c>
      <c r="F129" s="16">
        <f t="shared" si="20"/>
        <v>127</v>
      </c>
    </row>
    <row r="130" spans="2:6" x14ac:dyDescent="0.45">
      <c r="B130" s="10">
        <v>15</v>
      </c>
      <c r="C130" s="20">
        <f t="shared" si="17"/>
        <v>14058</v>
      </c>
      <c r="D130" s="4">
        <f t="shared" si="18"/>
        <v>14310</v>
      </c>
      <c r="E130" s="4">
        <f t="shared" si="19"/>
        <v>252</v>
      </c>
      <c r="F130" s="16">
        <f t="shared" si="20"/>
        <v>252</v>
      </c>
    </row>
    <row r="131" spans="2:6" ht="14.65" thickBot="1" x14ac:dyDescent="0.5">
      <c r="B131" s="12">
        <v>16</v>
      </c>
      <c r="C131" s="21">
        <f t="shared" si="17"/>
        <v>8094</v>
      </c>
      <c r="D131" s="13">
        <f t="shared" si="18"/>
        <v>8309</v>
      </c>
      <c r="E131" s="13">
        <f t="shared" si="19"/>
        <v>215</v>
      </c>
      <c r="F131" s="14">
        <f t="shared" si="20"/>
        <v>215</v>
      </c>
    </row>
    <row r="132" spans="2:6" ht="14.65" thickBot="1" x14ac:dyDescent="0.5"/>
    <row r="133" spans="2:6" ht="14.65" thickBot="1" x14ac:dyDescent="0.5">
      <c r="E133" s="36" t="s">
        <v>17</v>
      </c>
      <c r="F133" s="37">
        <f>SUM(F116:F131)</f>
        <v>6237</v>
      </c>
    </row>
    <row r="137" spans="2:6" x14ac:dyDescent="0.45">
      <c r="B137" s="1" t="s">
        <v>22</v>
      </c>
    </row>
    <row r="138" spans="2:6" x14ac:dyDescent="0.45">
      <c r="B138" t="s">
        <v>23</v>
      </c>
    </row>
    <row r="139" spans="2:6" x14ac:dyDescent="0.45">
      <c r="B139" t="s">
        <v>24</v>
      </c>
    </row>
    <row r="140" spans="2:6" x14ac:dyDescent="0.45">
      <c r="B140" t="s">
        <v>21</v>
      </c>
    </row>
    <row r="141" spans="2:6" x14ac:dyDescent="0.45">
      <c r="B141" t="s">
        <v>25</v>
      </c>
    </row>
    <row r="142" spans="2:6" x14ac:dyDescent="0.45">
      <c r="B142" t="s">
        <v>29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hashir afnan</dc:creator>
  <cp:lastModifiedBy>Hasan Ashraf</cp:lastModifiedBy>
  <dcterms:created xsi:type="dcterms:W3CDTF">2022-10-23T02:17:11Z</dcterms:created>
  <dcterms:modified xsi:type="dcterms:W3CDTF">2022-10-26T17:52:26Z</dcterms:modified>
</cp:coreProperties>
</file>